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B4C54DA8-F261-450A-ACC6-3208896C099B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DTB - PRÁCE" sheetId="1" r:id="rId1"/>
    <sheet name="DTB - MATERIÁL" sheetId="3" r:id="rId2"/>
  </sheets>
  <definedNames>
    <definedName name="_xlnm._FilterDatabase" localSheetId="0" hidden="1">'DTB - PRÁCE'!$A$1:$J$1</definedName>
    <definedName name="_xlnm._FilterDatabase" localSheetId="1" hidden="1">'DTB - MATERIÁL'!$A$1:$C$1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J9" i="1"/>
  <c r="A9" i="1"/>
  <c r="J3" i="1"/>
  <c r="A3" i="1"/>
  <c r="A101" i="1"/>
  <c r="A100" i="1"/>
  <c r="A99" i="1"/>
  <c r="J101" i="1"/>
  <c r="J100" i="1"/>
  <c r="J99" i="1"/>
  <c r="J98" i="1"/>
  <c r="J96" i="1"/>
  <c r="A96" i="1"/>
  <c r="J95" i="1"/>
  <c r="A95" i="1"/>
  <c r="J94" i="1"/>
  <c r="A94" i="1"/>
  <c r="J93" i="1"/>
  <c r="A93" i="1"/>
  <c r="A98" i="1"/>
  <c r="A16" i="1"/>
  <c r="A103" i="1"/>
  <c r="J103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A70" i="1"/>
  <c r="A69" i="1"/>
  <c r="A68" i="1"/>
  <c r="A67" i="1"/>
  <c r="J70" i="1"/>
  <c r="J69" i="1"/>
  <c r="J68" i="1"/>
  <c r="J67" i="1"/>
  <c r="J44" i="1"/>
  <c r="A44" i="1"/>
  <c r="J43" i="1"/>
  <c r="A43" i="1"/>
  <c r="J42" i="1"/>
  <c r="A42" i="1"/>
  <c r="J41" i="1"/>
  <c r="A41" i="1"/>
  <c r="J40" i="1"/>
  <c r="A40" i="1"/>
  <c r="J39" i="1"/>
  <c r="A39" i="1"/>
  <c r="J38" i="1"/>
  <c r="A38" i="1"/>
  <c r="J37" i="1"/>
  <c r="A37" i="1"/>
  <c r="J36" i="1"/>
  <c r="A36" i="1"/>
  <c r="J35" i="1"/>
  <c r="A35" i="1"/>
  <c r="A34" i="1"/>
  <c r="A33" i="1"/>
  <c r="A32" i="1"/>
  <c r="A31" i="1"/>
  <c r="A30" i="1"/>
  <c r="A29" i="1"/>
  <c r="A28" i="1"/>
  <c r="A27" i="1"/>
  <c r="A26" i="1"/>
  <c r="A25" i="1"/>
  <c r="J34" i="1"/>
  <c r="J33" i="1"/>
  <c r="J32" i="1"/>
  <c r="J31" i="1"/>
  <c r="J30" i="1"/>
  <c r="J29" i="1"/>
  <c r="J28" i="1"/>
  <c r="J27" i="1"/>
  <c r="J26" i="1"/>
  <c r="J25" i="1"/>
  <c r="J65" i="1"/>
  <c r="A65" i="1"/>
  <c r="J64" i="1"/>
  <c r="A64" i="1"/>
  <c r="J63" i="1"/>
  <c r="A63" i="1"/>
  <c r="J62" i="1"/>
  <c r="A62" i="1"/>
  <c r="J61" i="1"/>
  <c r="A61" i="1"/>
  <c r="J60" i="1"/>
  <c r="A60" i="1"/>
  <c r="J59" i="1"/>
  <c r="A59" i="1"/>
  <c r="J58" i="1"/>
  <c r="A58" i="1"/>
  <c r="J57" i="1"/>
  <c r="A57" i="1"/>
  <c r="J56" i="1"/>
  <c r="A56" i="1"/>
  <c r="J55" i="1"/>
  <c r="A55" i="1"/>
  <c r="J54" i="1"/>
  <c r="A54" i="1"/>
  <c r="J53" i="1"/>
  <c r="A53" i="1"/>
  <c r="J52" i="1"/>
  <c r="A52" i="1"/>
  <c r="J51" i="1"/>
  <c r="A51" i="1"/>
  <c r="A48" i="1"/>
  <c r="A21" i="1"/>
  <c r="A22" i="1"/>
  <c r="A23" i="1"/>
  <c r="A17" i="1"/>
  <c r="A18" i="1"/>
  <c r="A11" i="1"/>
  <c r="A12" i="1"/>
  <c r="A13" i="1"/>
  <c r="J23" i="1"/>
  <c r="J22" i="1"/>
  <c r="J21" i="1"/>
  <c r="J18" i="1"/>
  <c r="J17" i="1"/>
  <c r="J16" i="1"/>
  <c r="J13" i="1"/>
  <c r="J12" i="1"/>
  <c r="J11" i="1"/>
  <c r="A8" i="1"/>
  <c r="A7" i="1"/>
  <c r="A6" i="1"/>
  <c r="A5" i="1"/>
  <c r="J7" i="1"/>
  <c r="J6" i="1"/>
  <c r="J5" i="1"/>
  <c r="J46" i="1"/>
  <c r="J47" i="1"/>
  <c r="J48" i="1"/>
  <c r="J49" i="1"/>
  <c r="J50" i="1"/>
  <c r="J20" i="1"/>
  <c r="J19" i="1"/>
  <c r="J15" i="1"/>
  <c r="J14" i="1"/>
  <c r="J10" i="1"/>
  <c r="J8" i="1"/>
  <c r="J4" i="1"/>
  <c r="J2" i="1"/>
  <c r="A10" i="1"/>
  <c r="A14" i="1"/>
  <c r="A15" i="1"/>
  <c r="A19" i="1"/>
  <c r="A20" i="1"/>
  <c r="A46" i="1"/>
  <c r="A47" i="1"/>
  <c r="A49" i="1"/>
  <c r="A50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4" i="1"/>
</calcChain>
</file>

<file path=xl/sharedStrings.xml><?xml version="1.0" encoding="utf-8"?>
<sst xmlns="http://schemas.openxmlformats.org/spreadsheetml/2006/main" count="702" uniqueCount="44">
  <si>
    <t>Název</t>
  </si>
  <si>
    <t>Základ</t>
  </si>
  <si>
    <t>Jednotka</t>
  </si>
  <si>
    <t>Úkon</t>
  </si>
  <si>
    <t>Upřesnění</t>
  </si>
  <si>
    <t>Materiál</t>
  </si>
  <si>
    <t>Umístění</t>
  </si>
  <si>
    <t>Koef. mat</t>
  </si>
  <si>
    <t>Koef. pol</t>
  </si>
  <si>
    <t>Cena celkem</t>
  </si>
  <si>
    <t>m</t>
  </si>
  <si>
    <t xml:space="preserve">Drážkování </t>
  </si>
  <si>
    <t>Spára</t>
  </si>
  <si>
    <t>Omítka - Sádra</t>
  </si>
  <si>
    <t>Stěna</t>
  </si>
  <si>
    <t>Dlažba</t>
  </si>
  <si>
    <t>Cihla</t>
  </si>
  <si>
    <t>Tvárnice</t>
  </si>
  <si>
    <t>Beton</t>
  </si>
  <si>
    <t>Železobeton</t>
  </si>
  <si>
    <t>Nízká (u podlahy)</t>
  </si>
  <si>
    <t>Štafle</t>
  </si>
  <si>
    <t>Strop</t>
  </si>
  <si>
    <t>-</t>
  </si>
  <si>
    <t>ks</t>
  </si>
  <si>
    <t>Vrtání</t>
  </si>
  <si>
    <t>Průchozí díra</t>
  </si>
  <si>
    <t>El. krabice</t>
  </si>
  <si>
    <t>Osazení</t>
  </si>
  <si>
    <t>Rozvaděč</t>
  </si>
  <si>
    <t>Suť</t>
  </si>
  <si>
    <t>Úklid a odvoz</t>
  </si>
  <si>
    <t>Omítka</t>
  </si>
  <si>
    <t>m3</t>
  </si>
  <si>
    <t>Otvor</t>
  </si>
  <si>
    <t>Průraz</t>
  </si>
  <si>
    <t>kg</t>
  </si>
  <si>
    <t>Úklid</t>
  </si>
  <si>
    <t>Odvoz</t>
  </si>
  <si>
    <t>Cena (Kč)</t>
  </si>
  <si>
    <t>Kabel - Typ1</t>
  </si>
  <si>
    <t>Kabel - Typ2</t>
  </si>
  <si>
    <t>Chránička</t>
  </si>
  <si>
    <t>Pojistková skříň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</si>
</sst>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\ &quot;Kč&quot;"/>
  </numFmts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0" fillId="0" borderId="0" xfId="0" applyNumberFormat="1"/>
    <xf numFmtId="43" fontId="1" fillId="2" borderId="0" xfId="0" applyNumberFormat="1" applyFont="1" applyFill="1" applyAlignment="1">
      <alignment horizontal="center"/>
    </xf>
    <xf numFmtId="43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ální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15.7109375" style="3" customWidth="1"/>
    <col min="3" max="3" width="15.7109375" customWidth="1"/>
    <col min="4" max="4" width="10.7109375" customWidth="1"/>
    <col min="5" max="7" width="15.7109375" customWidth="1"/>
    <col min="8" max="9" width="15.7109375" style="5" customWidth="1"/>
    <col min="10" max="10" width="15.7109375" customWidth="1"/>
  </cols>
  <sheetData>
    <row r="1" spans="1:10" s="1" customForma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1" t="s">
        <v>9</v>
      </c>
    </row>
    <row r="2" spans="1:10">
      <c r="A2" t="str">
        <f>D2 &amp; " / " &amp; E2 &amp; " / " &amp; F2 &amp; " / " &amp; G2</f>
        <v>Drážkování  / Spára / Omítka - Sádra / Stěna</v>
      </c>
      <c r="B2" s="3">
        <v>80</v>
      </c>
      <c r="C2" t="s">
        <v>10</v>
      </c>
      <c r="D2" t="s">
        <v>11</v>
      </c>
      <c r="E2" t="s">
        <v>12</v>
      </c>
      <c r="F2" t="s">
        <v>13</v>
      </c>
      <c r="G2" s="6" t="s">
        <v>14</v>
      </c>
      <c r="H2" s="5">
        <v>1</v>
      </c>
      <c r="I2" s="5">
        <v>1</v>
      </c>
      <c r="J2" s="5">
        <f>B2*H2*I2</f>
        <v>80</v>
      </c>
    </row>
    <row r="3" spans="1:10">
      <c r="A3" t="str">
        <f>D3 &amp; " / " &amp; E3 &amp; " / " &amp; F3 &amp; " / " &amp; G3</f>
        <v>Drážkování  / Spára / Dlažba / Stěna</v>
      </c>
      <c r="B3" s="3">
        <v>80</v>
      </c>
      <c r="C3" t="s">
        <v>10</v>
      </c>
      <c r="D3" t="s">
        <v>11</v>
      </c>
      <c r="E3" t="s">
        <v>12</v>
      </c>
      <c r="F3" t="s">
        <v>15</v>
      </c>
      <c r="G3" s="6" t="s">
        <v>14</v>
      </c>
      <c r="H3" s="5">
        <v>1.2</v>
      </c>
      <c r="I3" s="5">
        <v>1</v>
      </c>
      <c r="J3" s="5">
        <f>B3*H3*I3</f>
        <v>96</v>
      </c>
    </row>
    <row r="4" spans="1:10">
      <c r="A4" t="str">
        <f t="shared" ref="A4:A34" si="0">D4 &amp; " / " &amp; E4 &amp; " / " &amp; F4 &amp; " / " &amp; G4</f>
        <v>Drážkování  / Spára / Cihla / Stěna</v>
      </c>
      <c r="B4" s="3">
        <v>80</v>
      </c>
      <c r="C4" t="s">
        <v>10</v>
      </c>
      <c r="D4" t="s">
        <v>11</v>
      </c>
      <c r="E4" t="s">
        <v>12</v>
      </c>
      <c r="F4" t="s">
        <v>16</v>
      </c>
      <c r="G4" s="6" t="s">
        <v>14</v>
      </c>
      <c r="H4" s="5">
        <v>1.4</v>
      </c>
      <c r="I4" s="5">
        <v>1</v>
      </c>
      <c r="J4" s="5">
        <f t="shared" ref="J4:J34" si="1">B4*H4*I4</f>
        <v>112</v>
      </c>
    </row>
    <row r="5" spans="1:10">
      <c r="A5" t="str">
        <f t="shared" si="0"/>
        <v>Drážkování  / Spára / Tvárnice / Stěna</v>
      </c>
      <c r="B5" s="3">
        <v>80</v>
      </c>
      <c r="C5" t="s">
        <v>10</v>
      </c>
      <c r="D5" t="s">
        <v>11</v>
      </c>
      <c r="E5" t="s">
        <v>12</v>
      </c>
      <c r="F5" t="s">
        <v>17</v>
      </c>
      <c r="G5" s="6" t="s">
        <v>14</v>
      </c>
      <c r="H5" s="5">
        <v>1.5</v>
      </c>
      <c r="I5" s="5">
        <v>1</v>
      </c>
      <c r="J5" s="5">
        <f t="shared" si="1"/>
        <v>120</v>
      </c>
    </row>
    <row r="6" spans="1:10">
      <c r="A6" t="str">
        <f t="shared" si="0"/>
        <v>Drážkování  / Spára / Beton / Stěna</v>
      </c>
      <c r="B6" s="3">
        <v>80</v>
      </c>
      <c r="C6" t="s">
        <v>10</v>
      </c>
      <c r="D6" t="s">
        <v>11</v>
      </c>
      <c r="E6" t="s">
        <v>12</v>
      </c>
      <c r="F6" t="s">
        <v>18</v>
      </c>
      <c r="G6" s="6" t="s">
        <v>14</v>
      </c>
      <c r="H6" s="5">
        <v>2</v>
      </c>
      <c r="I6" s="5">
        <v>1</v>
      </c>
      <c r="J6" s="5">
        <f t="shared" si="1"/>
        <v>160</v>
      </c>
    </row>
    <row r="7" spans="1:10">
      <c r="A7" t="str">
        <f t="shared" si="0"/>
        <v>Drážkování  / Spára / Železobeton / Stěna</v>
      </c>
      <c r="B7" s="3">
        <v>80</v>
      </c>
      <c r="C7" t="s">
        <v>10</v>
      </c>
      <c r="D7" t="s">
        <v>11</v>
      </c>
      <c r="E7" t="s">
        <v>12</v>
      </c>
      <c r="F7" t="s">
        <v>19</v>
      </c>
      <c r="G7" s="6" t="s">
        <v>14</v>
      </c>
      <c r="H7" s="5">
        <v>2.5</v>
      </c>
      <c r="I7" s="5">
        <v>1</v>
      </c>
      <c r="J7" s="5">
        <f t="shared" si="1"/>
        <v>200</v>
      </c>
    </row>
    <row r="8" spans="1:10">
      <c r="A8" t="str">
        <f t="shared" si="0"/>
        <v>Drážkování  / Spára / Omítka - Sádra / Nízká (u podlahy)</v>
      </c>
      <c r="B8" s="3">
        <v>80</v>
      </c>
      <c r="C8" t="s">
        <v>10</v>
      </c>
      <c r="D8" t="s">
        <v>11</v>
      </c>
      <c r="E8" t="s">
        <v>12</v>
      </c>
      <c r="F8" t="s">
        <v>13</v>
      </c>
      <c r="G8" s="7" t="s">
        <v>20</v>
      </c>
      <c r="H8" s="5">
        <v>1</v>
      </c>
      <c r="I8" s="5">
        <v>1.1000000000000001</v>
      </c>
      <c r="J8" s="5">
        <f t="shared" si="1"/>
        <v>88</v>
      </c>
    </row>
    <row r="9" spans="1:10">
      <c r="A9" t="str">
        <f>D9 &amp; " / " &amp; E9 &amp; " / " &amp; F9 &amp; " / " &amp; G9</f>
        <v>Drážkování  / Spára / Dlažba / Nízká (u podlahy)</v>
      </c>
      <c r="B9" s="3">
        <v>80</v>
      </c>
      <c r="C9" t="s">
        <v>10</v>
      </c>
      <c r="D9" t="s">
        <v>11</v>
      </c>
      <c r="E9" t="s">
        <v>12</v>
      </c>
      <c r="F9" t="s">
        <v>15</v>
      </c>
      <c r="G9" s="7" t="s">
        <v>20</v>
      </c>
      <c r="H9" s="5">
        <v>1.2</v>
      </c>
      <c r="I9" s="5">
        <v>1</v>
      </c>
      <c r="J9" s="5">
        <f t="shared" si="1"/>
        <v>96</v>
      </c>
    </row>
    <row r="10" spans="1:10">
      <c r="A10" t="str">
        <f t="shared" si="0"/>
        <v>Drážkování  / Spára / Cihla / Nízká (u podlahy)</v>
      </c>
      <c r="B10" s="3">
        <v>80</v>
      </c>
      <c r="C10" t="s">
        <v>10</v>
      </c>
      <c r="D10" t="s">
        <v>11</v>
      </c>
      <c r="E10" t="s">
        <v>12</v>
      </c>
      <c r="F10" t="s">
        <v>16</v>
      </c>
      <c r="G10" s="7" t="s">
        <v>20</v>
      </c>
      <c r="H10" s="5">
        <v>1.4</v>
      </c>
      <c r="I10" s="5">
        <v>1.1000000000000001</v>
      </c>
      <c r="J10" s="5">
        <f t="shared" si="1"/>
        <v>123.20000000000002</v>
      </c>
    </row>
    <row r="11" spans="1:10">
      <c r="A11" t="str">
        <f t="shared" si="0"/>
        <v>Drážkování  / Spára / Tvárnice / Nízká (u podlahy)</v>
      </c>
      <c r="B11" s="3">
        <v>80</v>
      </c>
      <c r="C11" t="s">
        <v>10</v>
      </c>
      <c r="D11" t="s">
        <v>11</v>
      </c>
      <c r="E11" t="s">
        <v>12</v>
      </c>
      <c r="F11" t="s">
        <v>17</v>
      </c>
      <c r="G11" s="7" t="s">
        <v>20</v>
      </c>
      <c r="H11" s="5">
        <v>1.5</v>
      </c>
      <c r="I11" s="5">
        <v>1.1000000000000001</v>
      </c>
      <c r="J11" s="5">
        <f t="shared" si="1"/>
        <v>132</v>
      </c>
    </row>
    <row r="12" spans="1:10">
      <c r="A12" t="str">
        <f t="shared" si="0"/>
        <v>Drážkování  / Spára / Beton / Nízká (u podlahy)</v>
      </c>
      <c r="B12" s="3">
        <v>80</v>
      </c>
      <c r="C12" t="s">
        <v>10</v>
      </c>
      <c r="D12" t="s">
        <v>11</v>
      </c>
      <c r="E12" t="s">
        <v>12</v>
      </c>
      <c r="F12" t="s">
        <v>18</v>
      </c>
      <c r="G12" s="7" t="s">
        <v>20</v>
      </c>
      <c r="H12" s="5">
        <v>2</v>
      </c>
      <c r="I12" s="5">
        <v>1.1000000000000001</v>
      </c>
      <c r="J12" s="5">
        <f t="shared" si="1"/>
        <v>176</v>
      </c>
    </row>
    <row r="13" spans="1:10">
      <c r="A13" t="str">
        <f t="shared" si="0"/>
        <v>Drážkování  / Spára / Železobeton / Nízká (u podlahy)</v>
      </c>
      <c r="B13" s="3">
        <v>80</v>
      </c>
      <c r="C13" t="s">
        <v>10</v>
      </c>
      <c r="D13" t="s">
        <v>11</v>
      </c>
      <c r="E13" t="s">
        <v>12</v>
      </c>
      <c r="F13" t="s">
        <v>19</v>
      </c>
      <c r="G13" s="7" t="s">
        <v>20</v>
      </c>
      <c r="H13" s="5">
        <v>2.5</v>
      </c>
      <c r="I13" s="5">
        <v>1.1000000000000001</v>
      </c>
      <c r="J13" s="5">
        <f t="shared" si="1"/>
        <v>220.00000000000003</v>
      </c>
    </row>
    <row r="14" spans="1:10">
      <c r="A14" t="str">
        <f t="shared" si="0"/>
        <v>Drážkování  / Spára / Omítka - Sádra / Štafle</v>
      </c>
      <c r="B14" s="3">
        <v>80</v>
      </c>
      <c r="C14" t="s">
        <v>10</v>
      </c>
      <c r="D14" t="s">
        <v>11</v>
      </c>
      <c r="E14" t="s">
        <v>12</v>
      </c>
      <c r="F14" t="s">
        <v>13</v>
      </c>
      <c r="G14" s="8" t="s">
        <v>21</v>
      </c>
      <c r="H14" s="5">
        <v>1</v>
      </c>
      <c r="I14" s="5">
        <v>1.2</v>
      </c>
      <c r="J14" s="5">
        <f t="shared" si="1"/>
        <v>96</v>
      </c>
    </row>
    <row r="15" spans="1:10">
      <c r="A15" t="str">
        <f t="shared" si="0"/>
        <v>Drážkování  / Spára / Cihla / Štafle</v>
      </c>
      <c r="B15" s="3">
        <v>80</v>
      </c>
      <c r="C15" t="s">
        <v>10</v>
      </c>
      <c r="D15" t="s">
        <v>11</v>
      </c>
      <c r="E15" t="s">
        <v>12</v>
      </c>
      <c r="F15" t="s">
        <v>16</v>
      </c>
      <c r="G15" s="8" t="s">
        <v>21</v>
      </c>
      <c r="H15" s="5">
        <v>1.4</v>
      </c>
      <c r="I15" s="5">
        <v>1.2</v>
      </c>
      <c r="J15" s="5">
        <f t="shared" si="1"/>
        <v>134.4</v>
      </c>
    </row>
    <row r="16" spans="1:10">
      <c r="A16" t="str">
        <f t="shared" si="0"/>
        <v>Drážkování  / Spára / Tvárnice / Štafle</v>
      </c>
      <c r="B16" s="3">
        <v>80</v>
      </c>
      <c r="C16" t="s">
        <v>10</v>
      </c>
      <c r="D16" t="s">
        <v>11</v>
      </c>
      <c r="E16" t="s">
        <v>12</v>
      </c>
      <c r="F16" t="s">
        <v>17</v>
      </c>
      <c r="G16" s="8" t="s">
        <v>21</v>
      </c>
      <c r="H16" s="5">
        <v>1.5</v>
      </c>
      <c r="I16" s="5">
        <v>1.2</v>
      </c>
      <c r="J16" s="5">
        <f t="shared" si="1"/>
        <v>144</v>
      </c>
    </row>
    <row r="17" spans="1:10">
      <c r="A17" t="str">
        <f t="shared" si="0"/>
        <v>Drážkování  / Spára / Beton / Štafle</v>
      </c>
      <c r="B17" s="3">
        <v>80</v>
      </c>
      <c r="C17" t="s">
        <v>10</v>
      </c>
      <c r="D17" t="s">
        <v>11</v>
      </c>
      <c r="E17" t="s">
        <v>12</v>
      </c>
      <c r="F17" t="s">
        <v>18</v>
      </c>
      <c r="G17" s="8" t="s">
        <v>21</v>
      </c>
      <c r="H17" s="5">
        <v>2</v>
      </c>
      <c r="I17" s="5">
        <v>1.2</v>
      </c>
      <c r="J17" s="5">
        <f t="shared" si="1"/>
        <v>192</v>
      </c>
    </row>
    <row r="18" spans="1:10">
      <c r="A18" t="str">
        <f t="shared" si="0"/>
        <v>Drážkování  / Spára / Železobeton / Štafle</v>
      </c>
      <c r="B18" s="3">
        <v>80</v>
      </c>
      <c r="C18" t="s">
        <v>10</v>
      </c>
      <c r="D18" t="s">
        <v>11</v>
      </c>
      <c r="E18" t="s">
        <v>12</v>
      </c>
      <c r="F18" t="s">
        <v>19</v>
      </c>
      <c r="G18" s="8" t="s">
        <v>21</v>
      </c>
      <c r="H18" s="5">
        <v>2.5</v>
      </c>
      <c r="I18" s="5">
        <v>1.2</v>
      </c>
      <c r="J18" s="5">
        <f t="shared" si="1"/>
        <v>240</v>
      </c>
    </row>
    <row r="19" spans="1:10">
      <c r="A19" t="str">
        <f t="shared" si="0"/>
        <v>Drážkování  / Spára / Omítka - Sádra / Strop</v>
      </c>
      <c r="B19" s="3">
        <v>80</v>
      </c>
      <c r="C19" t="s">
        <v>10</v>
      </c>
      <c r="D19" t="s">
        <v>11</v>
      </c>
      <c r="E19" t="s">
        <v>12</v>
      </c>
      <c r="F19" t="s">
        <v>13</v>
      </c>
      <c r="G19" s="9" t="s">
        <v>22</v>
      </c>
      <c r="H19" s="5">
        <v>1</v>
      </c>
      <c r="I19" s="5">
        <v>1.5</v>
      </c>
      <c r="J19" s="5">
        <f t="shared" si="1"/>
        <v>120</v>
      </c>
    </row>
    <row r="20" spans="1:10">
      <c r="A20" t="str">
        <f t="shared" si="0"/>
        <v>Drážkování  / Spára / Cihla / Strop</v>
      </c>
      <c r="B20" s="3">
        <v>80</v>
      </c>
      <c r="C20" t="s">
        <v>10</v>
      </c>
      <c r="D20" t="s">
        <v>11</v>
      </c>
      <c r="E20" t="s">
        <v>12</v>
      </c>
      <c r="F20" t="s">
        <v>16</v>
      </c>
      <c r="G20" s="9" t="s">
        <v>22</v>
      </c>
      <c r="H20" s="5">
        <v>1.4</v>
      </c>
      <c r="I20" s="5">
        <v>1.5</v>
      </c>
      <c r="J20" s="5">
        <f t="shared" si="1"/>
        <v>168</v>
      </c>
    </row>
    <row r="21" spans="1:10">
      <c r="A21" t="str">
        <f t="shared" si="0"/>
        <v>Drážkování  / Spára / Tvárnice / Strop</v>
      </c>
      <c r="B21" s="3">
        <v>80</v>
      </c>
      <c r="C21" t="s">
        <v>10</v>
      </c>
      <c r="D21" t="s">
        <v>11</v>
      </c>
      <c r="E21" t="s">
        <v>12</v>
      </c>
      <c r="F21" t="s">
        <v>17</v>
      </c>
      <c r="G21" s="9" t="s">
        <v>22</v>
      </c>
      <c r="H21" s="5">
        <v>1.5</v>
      </c>
      <c r="I21" s="5">
        <v>1.5</v>
      </c>
      <c r="J21" s="5">
        <f t="shared" si="1"/>
        <v>180</v>
      </c>
    </row>
    <row r="22" spans="1:10">
      <c r="A22" t="str">
        <f t="shared" si="0"/>
        <v>Drážkování  / Spára / Beton / Strop</v>
      </c>
      <c r="B22" s="3">
        <v>80</v>
      </c>
      <c r="C22" t="s">
        <v>10</v>
      </c>
      <c r="D22" t="s">
        <v>11</v>
      </c>
      <c r="E22" t="s">
        <v>12</v>
      </c>
      <c r="F22" t="s">
        <v>18</v>
      </c>
      <c r="G22" s="9" t="s">
        <v>22</v>
      </c>
      <c r="H22" s="5">
        <v>2</v>
      </c>
      <c r="I22" s="5">
        <v>1.5</v>
      </c>
      <c r="J22" s="5">
        <f t="shared" si="1"/>
        <v>240</v>
      </c>
    </row>
    <row r="23" spans="1:10">
      <c r="A23" t="str">
        <f t="shared" si="0"/>
        <v>Drážkování  / Spára / Železobeton / Strop</v>
      </c>
      <c r="B23" s="3">
        <v>80</v>
      </c>
      <c r="C23" t="s">
        <v>10</v>
      </c>
      <c r="D23" t="s">
        <v>11</v>
      </c>
      <c r="E23" t="s">
        <v>12</v>
      </c>
      <c r="F23" t="s">
        <v>19</v>
      </c>
      <c r="G23" s="9" t="s">
        <v>22</v>
      </c>
      <c r="H23" s="5">
        <v>2.5</v>
      </c>
      <c r="I23" s="5">
        <v>1.5</v>
      </c>
      <c r="J23" s="5">
        <f t="shared" si="1"/>
        <v>300</v>
      </c>
    </row>
    <row r="24" spans="1:10" s="1" customFormat="1">
      <c r="A24" s="1" t="s">
        <v>23</v>
      </c>
      <c r="B24" s="2" t="s">
        <v>23</v>
      </c>
      <c r="C24" s="1" t="s">
        <v>23</v>
      </c>
      <c r="D24" s="1" t="s">
        <v>23</v>
      </c>
      <c r="E24" s="1" t="s">
        <v>23</v>
      </c>
      <c r="F24" s="1" t="s">
        <v>23</v>
      </c>
      <c r="G24" s="1" t="s">
        <v>23</v>
      </c>
      <c r="H24" s="4" t="s">
        <v>23</v>
      </c>
      <c r="I24" s="4" t="s">
        <v>23</v>
      </c>
      <c r="J24" s="4" t="s">
        <v>23</v>
      </c>
    </row>
    <row r="25" spans="1:10">
      <c r="A25" t="str">
        <f t="shared" si="0"/>
        <v>Vrtání / Průchozí díra / Omítka - Sádra / Stěna</v>
      </c>
      <c r="B25" s="3">
        <v>60</v>
      </c>
      <c r="C25" t="s">
        <v>24</v>
      </c>
      <c r="D25" t="s">
        <v>25</v>
      </c>
      <c r="E25" t="s">
        <v>26</v>
      </c>
      <c r="F25" s="9" t="s">
        <v>13</v>
      </c>
      <c r="G25" s="6" t="s">
        <v>14</v>
      </c>
      <c r="H25" s="5">
        <v>1</v>
      </c>
      <c r="I25" s="5">
        <v>1</v>
      </c>
      <c r="J25" s="5">
        <f t="shared" si="1"/>
        <v>60</v>
      </c>
    </row>
    <row r="26" spans="1:10">
      <c r="A26" t="str">
        <f t="shared" si="0"/>
        <v>Vrtání / Průchozí díra / Cihla / Stěna</v>
      </c>
      <c r="B26" s="3">
        <v>60</v>
      </c>
      <c r="C26" t="s">
        <v>24</v>
      </c>
      <c r="D26" t="s">
        <v>25</v>
      </c>
      <c r="E26" t="s">
        <v>26</v>
      </c>
      <c r="F26" t="s">
        <v>16</v>
      </c>
      <c r="G26" s="6" t="s">
        <v>14</v>
      </c>
      <c r="H26" s="5">
        <v>1.4</v>
      </c>
      <c r="I26" s="5">
        <v>1</v>
      </c>
      <c r="J26" s="5">
        <f t="shared" si="1"/>
        <v>84</v>
      </c>
    </row>
    <row r="27" spans="1:10">
      <c r="A27" t="str">
        <f t="shared" si="0"/>
        <v>Vrtání / Průchozí díra / Tvárnice / Stěna</v>
      </c>
      <c r="B27" s="3">
        <v>60</v>
      </c>
      <c r="C27" t="s">
        <v>24</v>
      </c>
      <c r="D27" t="s">
        <v>25</v>
      </c>
      <c r="E27" t="s">
        <v>26</v>
      </c>
      <c r="F27" t="s">
        <v>17</v>
      </c>
      <c r="G27" s="6" t="s">
        <v>14</v>
      </c>
      <c r="H27" s="5">
        <v>1.5</v>
      </c>
      <c r="I27" s="5">
        <v>1</v>
      </c>
      <c r="J27" s="5">
        <f t="shared" si="1"/>
        <v>90</v>
      </c>
    </row>
    <row r="28" spans="1:10">
      <c r="A28" t="str">
        <f t="shared" si="0"/>
        <v>Vrtání / Průchozí díra / Beton / Stěna</v>
      </c>
      <c r="B28" s="3">
        <v>60</v>
      </c>
      <c r="C28" t="s">
        <v>24</v>
      </c>
      <c r="D28" t="s">
        <v>25</v>
      </c>
      <c r="E28" t="s">
        <v>26</v>
      </c>
      <c r="F28" t="s">
        <v>18</v>
      </c>
      <c r="G28" s="6" t="s">
        <v>14</v>
      </c>
      <c r="H28" s="5">
        <v>2</v>
      </c>
      <c r="I28" s="5">
        <v>1</v>
      </c>
      <c r="J28" s="5">
        <f t="shared" si="1"/>
        <v>120</v>
      </c>
    </row>
    <row r="29" spans="1:10">
      <c r="A29" t="str">
        <f t="shared" si="0"/>
        <v>Vrtání / Průchozí díra / Železobeton / Stěna</v>
      </c>
      <c r="B29" s="3">
        <v>60</v>
      </c>
      <c r="C29" t="s">
        <v>24</v>
      </c>
      <c r="D29" t="s">
        <v>25</v>
      </c>
      <c r="E29" t="s">
        <v>26</v>
      </c>
      <c r="F29" t="s">
        <v>19</v>
      </c>
      <c r="G29" s="6" t="s">
        <v>14</v>
      </c>
      <c r="H29" s="5">
        <v>2.5</v>
      </c>
      <c r="I29" s="5">
        <v>1</v>
      </c>
      <c r="J29" s="5">
        <f t="shared" si="1"/>
        <v>150</v>
      </c>
    </row>
    <row r="30" spans="1:10">
      <c r="A30" t="str">
        <f t="shared" si="0"/>
        <v>Vrtání / Průchozí díra / Omítka - Sádra / Nízká (u podlahy)</v>
      </c>
      <c r="B30" s="3">
        <v>60</v>
      </c>
      <c r="C30" t="s">
        <v>24</v>
      </c>
      <c r="D30" t="s">
        <v>25</v>
      </c>
      <c r="E30" t="s">
        <v>26</v>
      </c>
      <c r="F30" s="9" t="s">
        <v>13</v>
      </c>
      <c r="G30" s="7" t="s">
        <v>20</v>
      </c>
      <c r="H30" s="5">
        <v>1</v>
      </c>
      <c r="I30" s="5">
        <v>1.1000000000000001</v>
      </c>
      <c r="J30" s="5">
        <f t="shared" si="1"/>
        <v>66</v>
      </c>
    </row>
    <row r="31" spans="1:10">
      <c r="A31" t="str">
        <f t="shared" si="0"/>
        <v>Vrtání / Průchozí díra / Cihla / Nízká (u podlahy)</v>
      </c>
      <c r="B31" s="3">
        <v>60</v>
      </c>
      <c r="C31" t="s">
        <v>24</v>
      </c>
      <c r="D31" t="s">
        <v>25</v>
      </c>
      <c r="E31" t="s">
        <v>26</v>
      </c>
      <c r="F31" t="s">
        <v>16</v>
      </c>
      <c r="G31" s="7" t="s">
        <v>20</v>
      </c>
      <c r="H31" s="5">
        <v>1.4</v>
      </c>
      <c r="I31" s="5">
        <v>1.1000000000000001</v>
      </c>
      <c r="J31" s="5">
        <f t="shared" si="1"/>
        <v>92.4</v>
      </c>
    </row>
    <row r="32" spans="1:10">
      <c r="A32" t="str">
        <f t="shared" si="0"/>
        <v>Vrtání / Průchozí díra / Tvárnice / Nízká (u podlahy)</v>
      </c>
      <c r="B32" s="3">
        <v>60</v>
      </c>
      <c r="C32" t="s">
        <v>24</v>
      </c>
      <c r="D32" t="s">
        <v>25</v>
      </c>
      <c r="E32" t="s">
        <v>26</v>
      </c>
      <c r="F32" t="s">
        <v>17</v>
      </c>
      <c r="G32" s="7" t="s">
        <v>20</v>
      </c>
      <c r="H32" s="5">
        <v>1.5</v>
      </c>
      <c r="I32" s="5">
        <v>1.1000000000000001</v>
      </c>
      <c r="J32" s="5">
        <f t="shared" si="1"/>
        <v>99.000000000000014</v>
      </c>
    </row>
    <row r="33" spans="1:10">
      <c r="A33" t="str">
        <f t="shared" si="0"/>
        <v>Vrtání / Průchozí díra / Beton / Nízká (u podlahy)</v>
      </c>
      <c r="B33" s="3">
        <v>60</v>
      </c>
      <c r="C33" t="s">
        <v>24</v>
      </c>
      <c r="D33" t="s">
        <v>25</v>
      </c>
      <c r="E33" t="s">
        <v>26</v>
      </c>
      <c r="F33" t="s">
        <v>18</v>
      </c>
      <c r="G33" s="7" t="s">
        <v>20</v>
      </c>
      <c r="H33" s="5">
        <v>2</v>
      </c>
      <c r="I33" s="5">
        <v>1.1000000000000001</v>
      </c>
      <c r="J33" s="5">
        <f t="shared" si="1"/>
        <v>132</v>
      </c>
    </row>
    <row r="34" spans="1:10">
      <c r="A34" t="str">
        <f t="shared" si="0"/>
        <v>Vrtání / Průchozí díra / Železobeton / Nízká (u podlahy)</v>
      </c>
      <c r="B34" s="3">
        <v>60</v>
      </c>
      <c r="C34" t="s">
        <v>24</v>
      </c>
      <c r="D34" t="s">
        <v>25</v>
      </c>
      <c r="E34" t="s">
        <v>26</v>
      </c>
      <c r="F34" t="s">
        <v>19</v>
      </c>
      <c r="G34" s="7" t="s">
        <v>20</v>
      </c>
      <c r="H34" s="5">
        <v>2.5</v>
      </c>
      <c r="I34" s="5">
        <v>1.1000000000000001</v>
      </c>
      <c r="J34" s="5">
        <f t="shared" si="1"/>
        <v>165</v>
      </c>
    </row>
    <row r="35" spans="1:10">
      <c r="A35" t="str">
        <f t="shared" ref="A35:A39" si="2">D35 &amp; " / " &amp; E35 &amp; " / " &amp; F35 &amp; " / " &amp; G35</f>
        <v>Vrtání / Průchozí díra / Omítka - Sádra / Štafle</v>
      </c>
      <c r="B35" s="3">
        <v>60</v>
      </c>
      <c r="C35" t="s">
        <v>24</v>
      </c>
      <c r="D35" t="s">
        <v>25</v>
      </c>
      <c r="E35" t="s">
        <v>26</v>
      </c>
      <c r="F35" s="9" t="s">
        <v>13</v>
      </c>
      <c r="G35" s="8" t="s">
        <v>21</v>
      </c>
      <c r="H35" s="5">
        <v>1</v>
      </c>
      <c r="I35" s="5">
        <v>1.2</v>
      </c>
      <c r="J35" s="5">
        <f t="shared" ref="J35:J39" si="3">B35*H35*I35</f>
        <v>72</v>
      </c>
    </row>
    <row r="36" spans="1:10">
      <c r="A36" t="str">
        <f t="shared" si="2"/>
        <v>Vrtání / Průchozí díra / Cihla / Štafle</v>
      </c>
      <c r="B36" s="3">
        <v>60</v>
      </c>
      <c r="C36" t="s">
        <v>24</v>
      </c>
      <c r="D36" t="s">
        <v>25</v>
      </c>
      <c r="E36" t="s">
        <v>26</v>
      </c>
      <c r="F36" t="s">
        <v>16</v>
      </c>
      <c r="G36" s="8" t="s">
        <v>21</v>
      </c>
      <c r="H36" s="5">
        <v>1.4</v>
      </c>
      <c r="I36" s="5">
        <v>1.2</v>
      </c>
      <c r="J36" s="5">
        <f t="shared" si="3"/>
        <v>100.8</v>
      </c>
    </row>
    <row r="37" spans="1:10">
      <c r="A37" t="str">
        <f t="shared" si="2"/>
        <v>Vrtání / Průchozí díra / Tvárnice / Štafle</v>
      </c>
      <c r="B37" s="3">
        <v>60</v>
      </c>
      <c r="C37" t="s">
        <v>24</v>
      </c>
      <c r="D37" t="s">
        <v>25</v>
      </c>
      <c r="E37" t="s">
        <v>26</v>
      </c>
      <c r="F37" t="s">
        <v>17</v>
      </c>
      <c r="G37" s="8" t="s">
        <v>21</v>
      </c>
      <c r="H37" s="5">
        <v>1.5</v>
      </c>
      <c r="I37" s="5">
        <v>1.2</v>
      </c>
      <c r="J37" s="5">
        <f t="shared" si="3"/>
        <v>108</v>
      </c>
    </row>
    <row r="38" spans="1:10">
      <c r="A38" t="str">
        <f t="shared" si="2"/>
        <v>Vrtání / Průchozí díra / Beton / Štafle</v>
      </c>
      <c r="B38" s="3">
        <v>60</v>
      </c>
      <c r="C38" t="s">
        <v>24</v>
      </c>
      <c r="D38" t="s">
        <v>25</v>
      </c>
      <c r="E38" t="s">
        <v>26</v>
      </c>
      <c r="F38" t="s">
        <v>18</v>
      </c>
      <c r="G38" s="8" t="s">
        <v>21</v>
      </c>
      <c r="H38" s="5">
        <v>2</v>
      </c>
      <c r="I38" s="5">
        <v>1.2</v>
      </c>
      <c r="J38" s="5">
        <f t="shared" si="3"/>
        <v>144</v>
      </c>
    </row>
    <row r="39" spans="1:10">
      <c r="A39" t="str">
        <f t="shared" si="2"/>
        <v>Vrtání / Průchozí díra / Železobeton / Štafle</v>
      </c>
      <c r="B39" s="3">
        <v>60</v>
      </c>
      <c r="C39" t="s">
        <v>24</v>
      </c>
      <c r="D39" t="s">
        <v>25</v>
      </c>
      <c r="E39" t="s">
        <v>26</v>
      </c>
      <c r="F39" t="s">
        <v>19</v>
      </c>
      <c r="G39" s="8" t="s">
        <v>21</v>
      </c>
      <c r="H39" s="5">
        <v>2.5</v>
      </c>
      <c r="I39" s="5">
        <v>1.2</v>
      </c>
      <c r="J39" s="5">
        <f t="shared" si="3"/>
        <v>180</v>
      </c>
    </row>
    <row r="40" spans="1:10">
      <c r="A40" t="str">
        <f t="shared" ref="A40:A44" si="4">D40 &amp; " / " &amp; E40 &amp; " / " &amp; F40 &amp; " / " &amp; G40</f>
        <v>Vrtání / Průchozí díra / Omítka - Sádra / Strop</v>
      </c>
      <c r="B40" s="3">
        <v>60</v>
      </c>
      <c r="C40" t="s">
        <v>24</v>
      </c>
      <c r="D40" t="s">
        <v>25</v>
      </c>
      <c r="E40" t="s">
        <v>26</v>
      </c>
      <c r="F40" s="9" t="s">
        <v>13</v>
      </c>
      <c r="G40" s="9" t="s">
        <v>22</v>
      </c>
      <c r="H40" s="5">
        <v>1</v>
      </c>
      <c r="I40" s="5">
        <v>1.5</v>
      </c>
      <c r="J40" s="5">
        <f t="shared" ref="J40:J44" si="5">B40*H40*I40</f>
        <v>90</v>
      </c>
    </row>
    <row r="41" spans="1:10">
      <c r="A41" t="str">
        <f t="shared" si="4"/>
        <v>Vrtání / Průchozí díra / Cihla / Strop</v>
      </c>
      <c r="B41" s="3">
        <v>60</v>
      </c>
      <c r="C41" t="s">
        <v>24</v>
      </c>
      <c r="D41" t="s">
        <v>25</v>
      </c>
      <c r="E41" t="s">
        <v>26</v>
      </c>
      <c r="F41" t="s">
        <v>16</v>
      </c>
      <c r="G41" s="9" t="s">
        <v>22</v>
      </c>
      <c r="H41" s="5">
        <v>1.4</v>
      </c>
      <c r="I41" s="5">
        <v>1.5</v>
      </c>
      <c r="J41" s="5">
        <f t="shared" si="5"/>
        <v>126</v>
      </c>
    </row>
    <row r="42" spans="1:10">
      <c r="A42" t="str">
        <f t="shared" si="4"/>
        <v>Vrtání / Průchozí díra / Tvárnice / Strop</v>
      </c>
      <c r="B42" s="3">
        <v>60</v>
      </c>
      <c r="C42" t="s">
        <v>24</v>
      </c>
      <c r="D42" t="s">
        <v>25</v>
      </c>
      <c r="E42" t="s">
        <v>26</v>
      </c>
      <c r="F42" t="s">
        <v>17</v>
      </c>
      <c r="G42" s="9" t="s">
        <v>22</v>
      </c>
      <c r="H42" s="5">
        <v>1.5</v>
      </c>
      <c r="I42" s="5">
        <v>1.5</v>
      </c>
      <c r="J42" s="5">
        <f t="shared" si="5"/>
        <v>135</v>
      </c>
    </row>
    <row r="43" spans="1:10">
      <c r="A43" t="str">
        <f t="shared" si="4"/>
        <v>Vrtání / Průchozí díra / Beton / Strop</v>
      </c>
      <c r="B43" s="3">
        <v>60</v>
      </c>
      <c r="C43" t="s">
        <v>24</v>
      </c>
      <c r="D43" t="s">
        <v>25</v>
      </c>
      <c r="E43" t="s">
        <v>26</v>
      </c>
      <c r="F43" t="s">
        <v>18</v>
      </c>
      <c r="G43" s="9" t="s">
        <v>22</v>
      </c>
      <c r="H43" s="5">
        <v>2</v>
      </c>
      <c r="I43" s="5">
        <v>1.5</v>
      </c>
      <c r="J43" s="5">
        <f t="shared" si="5"/>
        <v>180</v>
      </c>
    </row>
    <row r="44" spans="1:10">
      <c r="A44" t="str">
        <f t="shared" si="4"/>
        <v>Vrtání / Průchozí díra / Železobeton / Strop</v>
      </c>
      <c r="B44" s="3">
        <v>60</v>
      </c>
      <c r="C44" t="s">
        <v>24</v>
      </c>
      <c r="D44" t="s">
        <v>25</v>
      </c>
      <c r="E44" t="s">
        <v>26</v>
      </c>
      <c r="F44" t="s">
        <v>19</v>
      </c>
      <c r="G44" s="9" t="s">
        <v>22</v>
      </c>
      <c r="H44" s="5">
        <v>2.5</v>
      </c>
      <c r="I44" s="5">
        <v>1.5</v>
      </c>
      <c r="J44" s="5">
        <f t="shared" si="5"/>
        <v>225</v>
      </c>
    </row>
    <row r="45" spans="1:10">
      <c r="A45" s="1" t="s">
        <v>23</v>
      </c>
      <c r="B45" s="2" t="s">
        <v>23</v>
      </c>
      <c r="C45" s="1" t="s">
        <v>23</v>
      </c>
      <c r="D45" s="1" t="s">
        <v>23</v>
      </c>
      <c r="E45" s="1" t="s">
        <v>23</v>
      </c>
      <c r="F45" s="1" t="s">
        <v>23</v>
      </c>
      <c r="G45" s="1" t="s">
        <v>23</v>
      </c>
      <c r="H45" s="4" t="s">
        <v>23</v>
      </c>
      <c r="I45" s="4" t="s">
        <v>23</v>
      </c>
      <c r="J45" s="4" t="s">
        <v>23</v>
      </c>
    </row>
    <row r="46" spans="1:10">
      <c r="A46" t="str">
        <f>D46 &amp; " / " &amp; E46 &amp; " / " &amp; F46 &amp; " / " &amp; G46</f>
        <v>Vrtání / El. krabice / Omítka - Sádra / Stěna</v>
      </c>
      <c r="B46" s="3">
        <v>180</v>
      </c>
      <c r="C46" t="s">
        <v>24</v>
      </c>
      <c r="D46" t="s">
        <v>25</v>
      </c>
      <c r="E46" t="s">
        <v>27</v>
      </c>
      <c r="F46" s="9" t="s">
        <v>13</v>
      </c>
      <c r="G46" s="6" t="s">
        <v>14</v>
      </c>
      <c r="H46" s="5">
        <v>1</v>
      </c>
      <c r="I46" s="5">
        <v>1</v>
      </c>
      <c r="J46" s="5">
        <f>B46*H46*I46</f>
        <v>180</v>
      </c>
    </row>
    <row r="47" spans="1:10">
      <c r="A47" t="str">
        <f>D47 &amp; " / " &amp; E47 &amp; " / " &amp; F47 &amp; " / " &amp; G47</f>
        <v>Vrtání / El. krabice / Cihla / Stěna</v>
      </c>
      <c r="B47" s="3">
        <v>180</v>
      </c>
      <c r="C47" t="s">
        <v>24</v>
      </c>
      <c r="D47" t="s">
        <v>25</v>
      </c>
      <c r="E47" t="s">
        <v>27</v>
      </c>
      <c r="F47" t="s">
        <v>16</v>
      </c>
      <c r="G47" s="6" t="s">
        <v>14</v>
      </c>
      <c r="H47" s="5">
        <v>1.4</v>
      </c>
      <c r="I47" s="5">
        <v>1</v>
      </c>
      <c r="J47" s="5">
        <f>B47*H47*I47</f>
        <v>251.99999999999997</v>
      </c>
    </row>
    <row r="48" spans="1:10">
      <c r="A48" t="str">
        <f>D48 &amp; " / " &amp; E48 &amp; " / " &amp; F48 &amp; " / " &amp; G48</f>
        <v>Vrtání / El. krabice / Tvárnice / Stěna</v>
      </c>
      <c r="B48" s="3">
        <v>180</v>
      </c>
      <c r="C48" t="s">
        <v>24</v>
      </c>
      <c r="D48" t="s">
        <v>25</v>
      </c>
      <c r="E48" t="s">
        <v>27</v>
      </c>
      <c r="F48" t="s">
        <v>17</v>
      </c>
      <c r="G48" s="6" t="s">
        <v>14</v>
      </c>
      <c r="H48" s="5">
        <v>1.5</v>
      </c>
      <c r="I48" s="5">
        <v>1</v>
      </c>
      <c r="J48" s="5">
        <f>B48*H48*I48</f>
        <v>270</v>
      </c>
    </row>
    <row r="49" spans="1:10">
      <c r="A49" t="str">
        <f>D49 &amp; " / " &amp; E49 &amp; " / " &amp; F49 &amp; " / " &amp; G49</f>
        <v>Vrtání / El. krabice / Beton / Stěna</v>
      </c>
      <c r="B49" s="3">
        <v>180</v>
      </c>
      <c r="C49" t="s">
        <v>24</v>
      </c>
      <c r="D49" t="s">
        <v>25</v>
      </c>
      <c r="E49" t="s">
        <v>27</v>
      </c>
      <c r="F49" t="s">
        <v>18</v>
      </c>
      <c r="G49" s="6" t="s">
        <v>14</v>
      </c>
      <c r="H49" s="5">
        <v>2</v>
      </c>
      <c r="I49" s="5">
        <v>1</v>
      </c>
      <c r="J49" s="5">
        <f>B49*H49*I49</f>
        <v>360</v>
      </c>
    </row>
    <row r="50" spans="1:10">
      <c r="A50" t="str">
        <f>D50 &amp; " / " &amp; E50 &amp; " / " &amp; F50 &amp; " / " &amp; G50</f>
        <v>Vrtání / El. krabice / Železobeton / Stěna</v>
      </c>
      <c r="B50" s="3">
        <v>180</v>
      </c>
      <c r="C50" t="s">
        <v>24</v>
      </c>
      <c r="D50" t="s">
        <v>25</v>
      </c>
      <c r="E50" t="s">
        <v>27</v>
      </c>
      <c r="F50" t="s">
        <v>19</v>
      </c>
      <c r="G50" s="6" t="s">
        <v>14</v>
      </c>
      <c r="H50" s="5">
        <v>2.5</v>
      </c>
      <c r="I50" s="5">
        <v>1</v>
      </c>
      <c r="J50" s="5">
        <f>B50*H50*I50</f>
        <v>450</v>
      </c>
    </row>
    <row r="51" spans="1:10">
      <c r="A51" t="str">
        <f t="shared" ref="A51:A55" si="6">D51 &amp; " / " &amp; E51 &amp; " / " &amp; F51 &amp; " / " &amp; G51</f>
        <v>Vrtání / El. krabice / Omítka - Sádra / Nízká (u podlahy)</v>
      </c>
      <c r="B51" s="3">
        <v>180</v>
      </c>
      <c r="C51" t="s">
        <v>24</v>
      </c>
      <c r="D51" t="s">
        <v>25</v>
      </c>
      <c r="E51" t="s">
        <v>27</v>
      </c>
      <c r="F51" s="9" t="s">
        <v>13</v>
      </c>
      <c r="G51" s="7" t="s">
        <v>20</v>
      </c>
      <c r="H51" s="5">
        <v>1</v>
      </c>
      <c r="I51" s="5">
        <v>1.1000000000000001</v>
      </c>
      <c r="J51" s="5">
        <f t="shared" ref="J51:J55" si="7">B51*H51*I51</f>
        <v>198.00000000000003</v>
      </c>
    </row>
    <row r="52" spans="1:10">
      <c r="A52" t="str">
        <f t="shared" si="6"/>
        <v>Vrtání / El. krabice / Cihla / Nízká (u podlahy)</v>
      </c>
      <c r="B52" s="3">
        <v>180</v>
      </c>
      <c r="C52" t="s">
        <v>24</v>
      </c>
      <c r="D52" t="s">
        <v>25</v>
      </c>
      <c r="E52" t="s">
        <v>27</v>
      </c>
      <c r="F52" t="s">
        <v>16</v>
      </c>
      <c r="G52" s="7" t="s">
        <v>20</v>
      </c>
      <c r="H52" s="5">
        <v>1.4</v>
      </c>
      <c r="I52" s="5">
        <v>1.1000000000000001</v>
      </c>
      <c r="J52" s="5">
        <f t="shared" si="7"/>
        <v>277.2</v>
      </c>
    </row>
    <row r="53" spans="1:10">
      <c r="A53" t="str">
        <f>D53 &amp; " / " &amp; E53 &amp; " / " &amp; F53 &amp; " / " &amp; G53</f>
        <v>Vrtání / El. krabice / Tvárnice / Nízká (u podlahy)</v>
      </c>
      <c r="B53" s="3">
        <v>180</v>
      </c>
      <c r="C53" t="s">
        <v>24</v>
      </c>
      <c r="D53" t="s">
        <v>25</v>
      </c>
      <c r="E53" t="s">
        <v>27</v>
      </c>
      <c r="F53" t="s">
        <v>17</v>
      </c>
      <c r="G53" s="7" t="s">
        <v>20</v>
      </c>
      <c r="H53" s="5">
        <v>1.5</v>
      </c>
      <c r="I53" s="5">
        <v>1.1000000000000001</v>
      </c>
      <c r="J53" s="5">
        <f t="shared" si="7"/>
        <v>297</v>
      </c>
    </row>
    <row r="54" spans="1:10">
      <c r="A54" t="str">
        <f t="shared" ref="A54:A55" si="8">D54 &amp; " / " &amp; E54 &amp; " / " &amp; F54 &amp; " / " &amp; G54</f>
        <v>Vrtání / El. krabice / Beton / Nízká (u podlahy)</v>
      </c>
      <c r="B54" s="3">
        <v>180</v>
      </c>
      <c r="C54" t="s">
        <v>24</v>
      </c>
      <c r="D54" t="s">
        <v>25</v>
      </c>
      <c r="E54" t="s">
        <v>27</v>
      </c>
      <c r="F54" t="s">
        <v>18</v>
      </c>
      <c r="G54" s="7" t="s">
        <v>20</v>
      </c>
      <c r="H54" s="5">
        <v>2</v>
      </c>
      <c r="I54" s="5">
        <v>1.1000000000000001</v>
      </c>
      <c r="J54" s="5">
        <f t="shared" si="7"/>
        <v>396.00000000000006</v>
      </c>
    </row>
    <row r="55" spans="1:10">
      <c r="A55" t="str">
        <f t="shared" si="8"/>
        <v>Vrtání / El. krabice / Železobeton / Nízká (u podlahy)</v>
      </c>
      <c r="B55" s="3">
        <v>180</v>
      </c>
      <c r="C55" t="s">
        <v>24</v>
      </c>
      <c r="D55" t="s">
        <v>25</v>
      </c>
      <c r="E55" t="s">
        <v>27</v>
      </c>
      <c r="F55" t="s">
        <v>19</v>
      </c>
      <c r="G55" s="7" t="s">
        <v>20</v>
      </c>
      <c r="H55" s="5">
        <v>2.5</v>
      </c>
      <c r="I55" s="5">
        <v>1.1000000000000001</v>
      </c>
      <c r="J55" s="5">
        <f t="shared" si="7"/>
        <v>495.00000000000006</v>
      </c>
    </row>
    <row r="56" spans="1:10">
      <c r="A56" t="str">
        <f t="shared" ref="A56:A60" si="9">D56 &amp; " / " &amp; E56 &amp; " / " &amp; F56 &amp; " / " &amp; G56</f>
        <v>Vrtání / El. krabice / Omítka - Sádra / Štafle</v>
      </c>
      <c r="B56" s="3">
        <v>180</v>
      </c>
      <c r="C56" t="s">
        <v>24</v>
      </c>
      <c r="D56" t="s">
        <v>25</v>
      </c>
      <c r="E56" t="s">
        <v>27</v>
      </c>
      <c r="F56" s="9" t="s">
        <v>13</v>
      </c>
      <c r="G56" s="8" t="s">
        <v>21</v>
      </c>
      <c r="H56" s="5">
        <v>1</v>
      </c>
      <c r="I56" s="5">
        <v>1.2</v>
      </c>
      <c r="J56" s="5">
        <f t="shared" ref="J56:J60" si="10">B56*H56*I56</f>
        <v>216</v>
      </c>
    </row>
    <row r="57" spans="1:10">
      <c r="A57" t="str">
        <f t="shared" si="9"/>
        <v>Vrtání / El. krabice / Cihla / Štafle</v>
      </c>
      <c r="B57" s="3">
        <v>180</v>
      </c>
      <c r="C57" t="s">
        <v>24</v>
      </c>
      <c r="D57" t="s">
        <v>25</v>
      </c>
      <c r="E57" t="s">
        <v>27</v>
      </c>
      <c r="F57" t="s">
        <v>16</v>
      </c>
      <c r="G57" s="8" t="s">
        <v>21</v>
      </c>
      <c r="H57" s="5">
        <v>1.4</v>
      </c>
      <c r="I57" s="5">
        <v>1.2</v>
      </c>
      <c r="J57" s="5">
        <f t="shared" si="10"/>
        <v>302.39999999999998</v>
      </c>
    </row>
    <row r="58" spans="1:10">
      <c r="A58" t="str">
        <f>D58 &amp; " / " &amp; E58 &amp; " / " &amp; F58 &amp; " / " &amp; G58</f>
        <v>Vrtání / El. krabice / Tvárnice / Štafle</v>
      </c>
      <c r="B58" s="3">
        <v>180</v>
      </c>
      <c r="C58" t="s">
        <v>24</v>
      </c>
      <c r="D58" t="s">
        <v>25</v>
      </c>
      <c r="E58" t="s">
        <v>27</v>
      </c>
      <c r="F58" t="s">
        <v>17</v>
      </c>
      <c r="G58" s="8" t="s">
        <v>21</v>
      </c>
      <c r="H58" s="5">
        <v>1.5</v>
      </c>
      <c r="I58" s="5">
        <v>1.2</v>
      </c>
      <c r="J58" s="5">
        <f t="shared" si="10"/>
        <v>324</v>
      </c>
    </row>
    <row r="59" spans="1:10">
      <c r="A59" t="str">
        <f t="shared" ref="A59:A60" si="11">D59 &amp; " / " &amp; E59 &amp; " / " &amp; F59 &amp; " / " &amp; G59</f>
        <v>Vrtání / El. krabice / Beton / Štafle</v>
      </c>
      <c r="B59" s="3">
        <v>180</v>
      </c>
      <c r="C59" t="s">
        <v>24</v>
      </c>
      <c r="D59" t="s">
        <v>25</v>
      </c>
      <c r="E59" t="s">
        <v>27</v>
      </c>
      <c r="F59" t="s">
        <v>18</v>
      </c>
      <c r="G59" s="8" t="s">
        <v>21</v>
      </c>
      <c r="H59" s="5">
        <v>2</v>
      </c>
      <c r="I59" s="5">
        <v>1.2</v>
      </c>
      <c r="J59" s="5">
        <f t="shared" si="10"/>
        <v>432</v>
      </c>
    </row>
    <row r="60" spans="1:10">
      <c r="A60" t="str">
        <f t="shared" si="11"/>
        <v>Vrtání / El. krabice / Železobeton / Štafle</v>
      </c>
      <c r="B60" s="3">
        <v>180</v>
      </c>
      <c r="C60" t="s">
        <v>24</v>
      </c>
      <c r="D60" t="s">
        <v>25</v>
      </c>
      <c r="E60" t="s">
        <v>27</v>
      </c>
      <c r="F60" t="s">
        <v>19</v>
      </c>
      <c r="G60" s="8" t="s">
        <v>21</v>
      </c>
      <c r="H60" s="5">
        <v>2.5</v>
      </c>
      <c r="I60" s="5">
        <v>1.2</v>
      </c>
      <c r="J60" s="5">
        <f t="shared" si="10"/>
        <v>540</v>
      </c>
    </row>
    <row r="61" spans="1:10">
      <c r="A61" t="str">
        <f t="shared" ref="A61:A65" si="12">D61 &amp; " / " &amp; E61 &amp; " / " &amp; F61 &amp; " / " &amp; G61</f>
        <v>Vrtání / El. krabice / Omítka - Sádra / Strop</v>
      </c>
      <c r="B61" s="3">
        <v>180</v>
      </c>
      <c r="C61" t="s">
        <v>24</v>
      </c>
      <c r="D61" t="s">
        <v>25</v>
      </c>
      <c r="E61" t="s">
        <v>27</v>
      </c>
      <c r="F61" s="9" t="s">
        <v>13</v>
      </c>
      <c r="G61" s="9" t="s">
        <v>22</v>
      </c>
      <c r="H61" s="5">
        <v>1</v>
      </c>
      <c r="I61" s="5">
        <v>1.5</v>
      </c>
      <c r="J61" s="5">
        <f t="shared" ref="J61:J70" si="13">B61*H61*I61</f>
        <v>270</v>
      </c>
    </row>
    <row r="62" spans="1:10">
      <c r="A62" t="str">
        <f t="shared" si="12"/>
        <v>Vrtání / El. krabice / Cihla / Strop</v>
      </c>
      <c r="B62" s="3">
        <v>180</v>
      </c>
      <c r="C62" t="s">
        <v>24</v>
      </c>
      <c r="D62" t="s">
        <v>25</v>
      </c>
      <c r="E62" t="s">
        <v>27</v>
      </c>
      <c r="F62" t="s">
        <v>16</v>
      </c>
      <c r="G62" s="9" t="s">
        <v>22</v>
      </c>
      <c r="H62" s="5">
        <v>1.4</v>
      </c>
      <c r="I62" s="5">
        <v>1.5</v>
      </c>
      <c r="J62" s="5">
        <f t="shared" si="13"/>
        <v>377.99999999999994</v>
      </c>
    </row>
    <row r="63" spans="1:10">
      <c r="A63" t="str">
        <f>D63 &amp; " / " &amp; E63 &amp; " / " &amp; F63 &amp; " / " &amp; G63</f>
        <v>Vrtání / El. krabice / Tvárnice / Strop</v>
      </c>
      <c r="B63" s="3">
        <v>180</v>
      </c>
      <c r="C63" t="s">
        <v>24</v>
      </c>
      <c r="D63" t="s">
        <v>25</v>
      </c>
      <c r="E63" t="s">
        <v>27</v>
      </c>
      <c r="F63" t="s">
        <v>17</v>
      </c>
      <c r="G63" s="9" t="s">
        <v>22</v>
      </c>
      <c r="H63" s="5">
        <v>1.5</v>
      </c>
      <c r="I63" s="5">
        <v>1.5</v>
      </c>
      <c r="J63" s="5">
        <f t="shared" si="13"/>
        <v>405</v>
      </c>
    </row>
    <row r="64" spans="1:10">
      <c r="A64" t="str">
        <f t="shared" ref="A64:A91" si="14">D64 &amp; " / " &amp; E64 &amp; " / " &amp; F64 &amp; " / " &amp; G64</f>
        <v>Vrtání / El. krabice / Beton / Strop</v>
      </c>
      <c r="B64" s="3">
        <v>180</v>
      </c>
      <c r="C64" t="s">
        <v>24</v>
      </c>
      <c r="D64" t="s">
        <v>25</v>
      </c>
      <c r="E64" t="s">
        <v>27</v>
      </c>
      <c r="F64" t="s">
        <v>18</v>
      </c>
      <c r="G64" s="9" t="s">
        <v>22</v>
      </c>
      <c r="H64" s="5">
        <v>2</v>
      </c>
      <c r="I64" s="5">
        <v>1.5</v>
      </c>
      <c r="J64" s="5">
        <f t="shared" si="13"/>
        <v>540</v>
      </c>
    </row>
    <row r="65" spans="1:10">
      <c r="A65" t="str">
        <f t="shared" si="14"/>
        <v>Vrtání / El. krabice / Železobeton / Strop</v>
      </c>
      <c r="B65" s="3">
        <v>180</v>
      </c>
      <c r="C65" t="s">
        <v>24</v>
      </c>
      <c r="D65" t="s">
        <v>25</v>
      </c>
      <c r="E65" t="s">
        <v>27</v>
      </c>
      <c r="F65" t="s">
        <v>19</v>
      </c>
      <c r="G65" s="9" t="s">
        <v>22</v>
      </c>
      <c r="H65" s="5">
        <v>2.5</v>
      </c>
      <c r="I65" s="5">
        <v>1.5</v>
      </c>
      <c r="J65" s="5">
        <f t="shared" si="13"/>
        <v>675</v>
      </c>
    </row>
    <row r="66" spans="1:10">
      <c r="A66" s="1" t="s">
        <v>23</v>
      </c>
      <c r="B66" s="2" t="s">
        <v>23</v>
      </c>
      <c r="C66" s="1" t="s">
        <v>23</v>
      </c>
      <c r="D66" s="1" t="s">
        <v>23</v>
      </c>
      <c r="E66" s="1" t="s">
        <v>23</v>
      </c>
      <c r="F66" s="1" t="s">
        <v>23</v>
      </c>
      <c r="G66" s="1" t="s">
        <v>23</v>
      </c>
      <c r="H66" s="4" t="s">
        <v>23</v>
      </c>
      <c r="I66" s="4" t="s">
        <v>23</v>
      </c>
      <c r="J66" s="4" t="s">
        <v>23</v>
      </c>
    </row>
    <row r="67" spans="1:10">
      <c r="A67" t="str">
        <f t="shared" si="14"/>
        <v>Osazení / El. krabice / - / Stěna</v>
      </c>
      <c r="B67" s="3">
        <v>80</v>
      </c>
      <c r="C67" t="s">
        <v>24</v>
      </c>
      <c r="D67" t="s">
        <v>28</v>
      </c>
      <c r="E67" t="s">
        <v>27</v>
      </c>
      <c r="F67" t="s">
        <v>23</v>
      </c>
      <c r="G67" s="6" t="s">
        <v>14</v>
      </c>
      <c r="H67" s="5">
        <v>1</v>
      </c>
      <c r="I67" s="5">
        <v>1</v>
      </c>
      <c r="J67" s="5">
        <f t="shared" si="13"/>
        <v>80</v>
      </c>
    </row>
    <row r="68" spans="1:10">
      <c r="A68" t="str">
        <f t="shared" si="14"/>
        <v>Osazení / El. krabice / - / Nízká (u podlahy)</v>
      </c>
      <c r="B68" s="3">
        <v>80</v>
      </c>
      <c r="C68" t="s">
        <v>24</v>
      </c>
      <c r="D68" t="s">
        <v>28</v>
      </c>
      <c r="E68" t="s">
        <v>27</v>
      </c>
      <c r="F68" t="s">
        <v>23</v>
      </c>
      <c r="G68" s="7" t="s">
        <v>20</v>
      </c>
      <c r="H68" s="5">
        <v>1</v>
      </c>
      <c r="I68" s="5">
        <v>1.1000000000000001</v>
      </c>
      <c r="J68" s="5">
        <f t="shared" si="13"/>
        <v>88</v>
      </c>
    </row>
    <row r="69" spans="1:10">
      <c r="A69" t="str">
        <f t="shared" si="14"/>
        <v>Osazení / El. krabice / - / Štafle</v>
      </c>
      <c r="B69" s="3">
        <v>80</v>
      </c>
      <c r="C69" t="s">
        <v>24</v>
      </c>
      <c r="D69" t="s">
        <v>28</v>
      </c>
      <c r="E69" t="s">
        <v>27</v>
      </c>
      <c r="F69" t="s">
        <v>23</v>
      </c>
      <c r="G69" s="8" t="s">
        <v>21</v>
      </c>
      <c r="H69" s="5">
        <v>1</v>
      </c>
      <c r="I69" s="5">
        <v>1.2</v>
      </c>
      <c r="J69" s="5">
        <f t="shared" si="13"/>
        <v>96</v>
      </c>
    </row>
    <row r="70" spans="1:10">
      <c r="A70" t="str">
        <f t="shared" si="14"/>
        <v>Osazení / El. krabice / - / Strop</v>
      </c>
      <c r="B70" s="3">
        <v>80</v>
      </c>
      <c r="C70" t="s">
        <v>24</v>
      </c>
      <c r="D70" t="s">
        <v>28</v>
      </c>
      <c r="E70" t="s">
        <v>27</v>
      </c>
      <c r="F70" t="s">
        <v>23</v>
      </c>
      <c r="G70" s="9" t="s">
        <v>22</v>
      </c>
      <c r="H70" s="5">
        <v>1</v>
      </c>
      <c r="I70" s="5">
        <v>1.5</v>
      </c>
      <c r="J70" s="5">
        <f t="shared" si="13"/>
        <v>120</v>
      </c>
    </row>
    <row r="71" spans="1:10">
      <c r="A71" s="1" t="s">
        <v>23</v>
      </c>
      <c r="B71" s="2" t="s">
        <v>23</v>
      </c>
      <c r="C71" s="1" t="s">
        <v>23</v>
      </c>
      <c r="D71" s="1" t="s">
        <v>23</v>
      </c>
      <c r="E71" s="1" t="s">
        <v>23</v>
      </c>
      <c r="F71" s="1" t="s">
        <v>23</v>
      </c>
      <c r="G71" s="1" t="s">
        <v>23</v>
      </c>
      <c r="H71" s="4" t="s">
        <v>23</v>
      </c>
      <c r="I71" s="4" t="s">
        <v>23</v>
      </c>
      <c r="J71" s="4" t="s">
        <v>23</v>
      </c>
    </row>
    <row r="72" spans="1:10">
      <c r="A72" t="str">
        <f t="shared" si="14"/>
        <v>Vrtání / Rozvaděč / Omítka - Sádra / Stěna</v>
      </c>
      <c r="B72" s="3">
        <v>800</v>
      </c>
      <c r="C72" t="s">
        <v>24</v>
      </c>
      <c r="D72" t="s">
        <v>25</v>
      </c>
      <c r="E72" t="s">
        <v>29</v>
      </c>
      <c r="F72" t="s">
        <v>13</v>
      </c>
      <c r="G72" s="6" t="s">
        <v>14</v>
      </c>
      <c r="H72" s="5">
        <v>1</v>
      </c>
      <c r="I72" s="5">
        <v>1</v>
      </c>
      <c r="J72" s="5">
        <f>B72*H72*I72</f>
        <v>800</v>
      </c>
    </row>
    <row r="73" spans="1:10">
      <c r="A73" t="str">
        <f t="shared" si="14"/>
        <v>Vrtání / Rozvaděč / Cihla / Stěna</v>
      </c>
      <c r="B73" s="3">
        <v>800</v>
      </c>
      <c r="C73" t="s">
        <v>24</v>
      </c>
      <c r="D73" t="s">
        <v>25</v>
      </c>
      <c r="E73" t="s">
        <v>29</v>
      </c>
      <c r="F73" t="s">
        <v>16</v>
      </c>
      <c r="G73" s="6" t="s">
        <v>14</v>
      </c>
      <c r="H73" s="5">
        <v>1.4</v>
      </c>
      <c r="I73" s="5">
        <v>1</v>
      </c>
      <c r="J73" s="5">
        <f t="shared" ref="J73:J91" si="15">B73*H73*I73</f>
        <v>1120</v>
      </c>
    </row>
    <row r="74" spans="1:10">
      <c r="A74" t="str">
        <f t="shared" si="14"/>
        <v>Vrtání / Rozvaděč / Tvárnice / Stěna</v>
      </c>
      <c r="B74" s="3">
        <v>800</v>
      </c>
      <c r="C74" t="s">
        <v>24</v>
      </c>
      <c r="D74" t="s">
        <v>25</v>
      </c>
      <c r="E74" t="s">
        <v>29</v>
      </c>
      <c r="F74" t="s">
        <v>17</v>
      </c>
      <c r="G74" s="6" t="s">
        <v>14</v>
      </c>
      <c r="H74" s="5">
        <v>1.5</v>
      </c>
      <c r="I74" s="5">
        <v>1</v>
      </c>
      <c r="J74" s="5">
        <f t="shared" si="15"/>
        <v>1200</v>
      </c>
    </row>
    <row r="75" spans="1:10">
      <c r="A75" t="str">
        <f t="shared" si="14"/>
        <v>Vrtání / Rozvaděč / Beton / Stěna</v>
      </c>
      <c r="B75" s="3">
        <v>800</v>
      </c>
      <c r="C75" t="s">
        <v>24</v>
      </c>
      <c r="D75" t="s">
        <v>25</v>
      </c>
      <c r="E75" t="s">
        <v>29</v>
      </c>
      <c r="F75" t="s">
        <v>18</v>
      </c>
      <c r="G75" s="6" t="s">
        <v>14</v>
      </c>
      <c r="H75" s="5">
        <v>2</v>
      </c>
      <c r="I75" s="5">
        <v>1</v>
      </c>
      <c r="J75" s="5">
        <f t="shared" si="15"/>
        <v>1600</v>
      </c>
    </row>
    <row r="76" spans="1:10">
      <c r="A76" t="str">
        <f t="shared" si="14"/>
        <v>Vrtání / Rozvaděč / Železobeton / Stěna</v>
      </c>
      <c r="B76" s="3">
        <v>800</v>
      </c>
      <c r="C76" t="s">
        <v>24</v>
      </c>
      <c r="D76" t="s">
        <v>25</v>
      </c>
      <c r="E76" t="s">
        <v>29</v>
      </c>
      <c r="F76" t="s">
        <v>19</v>
      </c>
      <c r="G76" s="6" t="s">
        <v>14</v>
      </c>
      <c r="H76" s="5">
        <v>2.5</v>
      </c>
      <c r="I76" s="5">
        <v>1</v>
      </c>
      <c r="J76" s="5">
        <f t="shared" si="15"/>
        <v>2000</v>
      </c>
    </row>
    <row r="77" spans="1:10">
      <c r="A77" t="str">
        <f t="shared" si="14"/>
        <v>Vrtání / Rozvaděč / Omítka - Sádra / Nízká (u podlahy)</v>
      </c>
      <c r="B77" s="3">
        <v>800</v>
      </c>
      <c r="C77" t="s">
        <v>24</v>
      </c>
      <c r="D77" t="s">
        <v>25</v>
      </c>
      <c r="E77" t="s">
        <v>29</v>
      </c>
      <c r="F77" t="s">
        <v>13</v>
      </c>
      <c r="G77" s="7" t="s">
        <v>20</v>
      </c>
      <c r="H77" s="5">
        <v>1</v>
      </c>
      <c r="I77" s="5">
        <v>1.1000000000000001</v>
      </c>
      <c r="J77" s="5">
        <f t="shared" si="15"/>
        <v>880.00000000000011</v>
      </c>
    </row>
    <row r="78" spans="1:10">
      <c r="A78" t="str">
        <f t="shared" si="14"/>
        <v>Vrtání / Rozvaděč / Cihla / Nízká (u podlahy)</v>
      </c>
      <c r="B78" s="3">
        <v>800</v>
      </c>
      <c r="C78" t="s">
        <v>24</v>
      </c>
      <c r="D78" t="s">
        <v>25</v>
      </c>
      <c r="E78" t="s">
        <v>29</v>
      </c>
      <c r="F78" t="s">
        <v>16</v>
      </c>
      <c r="G78" s="7" t="s">
        <v>20</v>
      </c>
      <c r="H78" s="5">
        <v>1.4</v>
      </c>
      <c r="I78" s="5">
        <v>1.1000000000000001</v>
      </c>
      <c r="J78" s="5">
        <f t="shared" si="15"/>
        <v>1232</v>
      </c>
    </row>
    <row r="79" spans="1:10">
      <c r="A79" t="str">
        <f t="shared" si="14"/>
        <v>Vrtání / Rozvaděč / Tvárnice / Nízká (u podlahy)</v>
      </c>
      <c r="B79" s="3">
        <v>800</v>
      </c>
      <c r="C79" t="s">
        <v>24</v>
      </c>
      <c r="D79" t="s">
        <v>25</v>
      </c>
      <c r="E79" t="s">
        <v>29</v>
      </c>
      <c r="F79" t="s">
        <v>17</v>
      </c>
      <c r="G79" s="7" t="s">
        <v>20</v>
      </c>
      <c r="H79" s="5">
        <v>1.5</v>
      </c>
      <c r="I79" s="5">
        <v>1.1000000000000001</v>
      </c>
      <c r="J79" s="5">
        <f t="shared" si="15"/>
        <v>1320</v>
      </c>
    </row>
    <row r="80" spans="1:10">
      <c r="A80" t="str">
        <f t="shared" si="14"/>
        <v>Vrtání / Rozvaděč / Beton / Nízká (u podlahy)</v>
      </c>
      <c r="B80" s="3">
        <v>800</v>
      </c>
      <c r="C80" t="s">
        <v>24</v>
      </c>
      <c r="D80" t="s">
        <v>25</v>
      </c>
      <c r="E80" t="s">
        <v>29</v>
      </c>
      <c r="F80" t="s">
        <v>18</v>
      </c>
      <c r="G80" s="7" t="s">
        <v>20</v>
      </c>
      <c r="H80" s="5">
        <v>2</v>
      </c>
      <c r="I80" s="5">
        <v>1.1000000000000001</v>
      </c>
      <c r="J80" s="5">
        <f t="shared" si="15"/>
        <v>1760.0000000000002</v>
      </c>
    </row>
    <row r="81" spans="1:10">
      <c r="A81" t="str">
        <f t="shared" si="14"/>
        <v>Vrtání / Rozvaděč / Železobeton / Nízká (u podlahy)</v>
      </c>
      <c r="B81" s="3">
        <v>800</v>
      </c>
      <c r="C81" t="s">
        <v>24</v>
      </c>
      <c r="D81" t="s">
        <v>25</v>
      </c>
      <c r="E81" t="s">
        <v>29</v>
      </c>
      <c r="F81" t="s">
        <v>19</v>
      </c>
      <c r="G81" s="7" t="s">
        <v>20</v>
      </c>
      <c r="H81" s="5">
        <v>2.5</v>
      </c>
      <c r="I81" s="5">
        <v>1.1000000000000001</v>
      </c>
      <c r="J81" s="5">
        <f t="shared" si="15"/>
        <v>2200</v>
      </c>
    </row>
    <row r="82" spans="1:10">
      <c r="A82" t="str">
        <f t="shared" si="14"/>
        <v>Vrtání / Rozvaděč / Omítka - Sádra / Štafle</v>
      </c>
      <c r="B82" s="3">
        <v>800</v>
      </c>
      <c r="C82" t="s">
        <v>24</v>
      </c>
      <c r="D82" t="s">
        <v>25</v>
      </c>
      <c r="E82" t="s">
        <v>29</v>
      </c>
      <c r="F82" t="s">
        <v>13</v>
      </c>
      <c r="G82" s="8" t="s">
        <v>21</v>
      </c>
      <c r="H82" s="5">
        <v>1</v>
      </c>
      <c r="I82" s="5">
        <v>1.2</v>
      </c>
      <c r="J82" s="5">
        <f t="shared" si="15"/>
        <v>960</v>
      </c>
    </row>
    <row r="83" spans="1:10">
      <c r="A83" t="str">
        <f t="shared" si="14"/>
        <v>Vrtání / Rozvaděč / Cihla / Štafle</v>
      </c>
      <c r="B83" s="3">
        <v>800</v>
      </c>
      <c r="C83" t="s">
        <v>24</v>
      </c>
      <c r="D83" t="s">
        <v>25</v>
      </c>
      <c r="E83" t="s">
        <v>29</v>
      </c>
      <c r="F83" t="s">
        <v>16</v>
      </c>
      <c r="G83" s="8" t="s">
        <v>21</v>
      </c>
      <c r="H83" s="5">
        <v>1.4</v>
      </c>
      <c r="I83" s="5">
        <v>1.2</v>
      </c>
      <c r="J83" s="5">
        <f t="shared" si="15"/>
        <v>1344</v>
      </c>
    </row>
    <row r="84" spans="1:10">
      <c r="A84" t="str">
        <f t="shared" si="14"/>
        <v>Vrtání / Rozvaděč / Tvárnice / Štafle</v>
      </c>
      <c r="B84" s="3">
        <v>800</v>
      </c>
      <c r="C84" t="s">
        <v>24</v>
      </c>
      <c r="D84" t="s">
        <v>25</v>
      </c>
      <c r="E84" t="s">
        <v>29</v>
      </c>
      <c r="F84" t="s">
        <v>17</v>
      </c>
      <c r="G84" s="8" t="s">
        <v>21</v>
      </c>
      <c r="H84" s="5">
        <v>1.5</v>
      </c>
      <c r="I84" s="5">
        <v>1.2</v>
      </c>
      <c r="J84" s="5">
        <f t="shared" si="15"/>
        <v>1440</v>
      </c>
    </row>
    <row r="85" spans="1:10">
      <c r="A85" t="str">
        <f t="shared" si="14"/>
        <v>Vrtání / Rozvaděč / Beton / Štafle</v>
      </c>
      <c r="B85" s="3">
        <v>800</v>
      </c>
      <c r="C85" t="s">
        <v>24</v>
      </c>
      <c r="D85" t="s">
        <v>25</v>
      </c>
      <c r="E85" t="s">
        <v>29</v>
      </c>
      <c r="F85" t="s">
        <v>18</v>
      </c>
      <c r="G85" s="8" t="s">
        <v>21</v>
      </c>
      <c r="H85" s="5">
        <v>2</v>
      </c>
      <c r="I85" s="5">
        <v>1.2</v>
      </c>
      <c r="J85" s="5">
        <f t="shared" si="15"/>
        <v>1920</v>
      </c>
    </row>
    <row r="86" spans="1:10">
      <c r="A86" t="str">
        <f t="shared" si="14"/>
        <v>Vrtání / Rozvaděč / Železobeton / Štafle</v>
      </c>
      <c r="B86" s="3">
        <v>800</v>
      </c>
      <c r="C86" t="s">
        <v>24</v>
      </c>
      <c r="D86" t="s">
        <v>25</v>
      </c>
      <c r="E86" t="s">
        <v>29</v>
      </c>
      <c r="F86" t="s">
        <v>19</v>
      </c>
      <c r="G86" s="8" t="s">
        <v>21</v>
      </c>
      <c r="H86" s="5">
        <v>2.5</v>
      </c>
      <c r="I86" s="5">
        <v>1.2</v>
      </c>
      <c r="J86" s="5">
        <f t="shared" si="15"/>
        <v>2400</v>
      </c>
    </row>
    <row r="87" spans="1:10">
      <c r="A87" t="str">
        <f t="shared" si="14"/>
        <v>Vrtání / Rozvaděč / Omítka - Sádra / Strop</v>
      </c>
      <c r="B87" s="3">
        <v>800</v>
      </c>
      <c r="C87" t="s">
        <v>24</v>
      </c>
      <c r="D87" t="s">
        <v>25</v>
      </c>
      <c r="E87" t="s">
        <v>29</v>
      </c>
      <c r="F87" t="s">
        <v>13</v>
      </c>
      <c r="G87" s="9" t="s">
        <v>22</v>
      </c>
      <c r="H87" s="5">
        <v>1</v>
      </c>
      <c r="I87" s="5">
        <v>1.5</v>
      </c>
      <c r="J87" s="5">
        <f t="shared" si="15"/>
        <v>1200</v>
      </c>
    </row>
    <row r="88" spans="1:10">
      <c r="A88" t="str">
        <f t="shared" si="14"/>
        <v>Vrtání / Rozvaděč / Cihla / Strop</v>
      </c>
      <c r="B88" s="3">
        <v>800</v>
      </c>
      <c r="C88" t="s">
        <v>24</v>
      </c>
      <c r="D88" t="s">
        <v>25</v>
      </c>
      <c r="E88" t="s">
        <v>29</v>
      </c>
      <c r="F88" t="s">
        <v>16</v>
      </c>
      <c r="G88" s="9" t="s">
        <v>22</v>
      </c>
      <c r="H88" s="5">
        <v>1.4</v>
      </c>
      <c r="I88" s="5">
        <v>1.5</v>
      </c>
      <c r="J88" s="5">
        <f t="shared" si="15"/>
        <v>1680</v>
      </c>
    </row>
    <row r="89" spans="1:10">
      <c r="A89" t="str">
        <f t="shared" si="14"/>
        <v>Vrtání / Rozvaděč / Tvárnice / Strop</v>
      </c>
      <c r="B89" s="3">
        <v>800</v>
      </c>
      <c r="C89" t="s">
        <v>24</v>
      </c>
      <c r="D89" t="s">
        <v>25</v>
      </c>
      <c r="E89" t="s">
        <v>29</v>
      </c>
      <c r="F89" t="s">
        <v>17</v>
      </c>
      <c r="G89" s="9" t="s">
        <v>22</v>
      </c>
      <c r="H89" s="5">
        <v>1.5</v>
      </c>
      <c r="I89" s="5">
        <v>1.5</v>
      </c>
      <c r="J89" s="5">
        <f t="shared" si="15"/>
        <v>1800</v>
      </c>
    </row>
    <row r="90" spans="1:10">
      <c r="A90" t="str">
        <f t="shared" si="14"/>
        <v>Vrtání / Rozvaděč / Beton / Strop</v>
      </c>
      <c r="B90" s="3">
        <v>800</v>
      </c>
      <c r="C90" t="s">
        <v>24</v>
      </c>
      <c r="D90" t="s">
        <v>25</v>
      </c>
      <c r="E90" t="s">
        <v>29</v>
      </c>
      <c r="F90" t="s">
        <v>18</v>
      </c>
      <c r="G90" s="9" t="s">
        <v>22</v>
      </c>
      <c r="H90" s="5">
        <v>2</v>
      </c>
      <c r="I90" s="5">
        <v>1.5</v>
      </c>
      <c r="J90" s="5">
        <f t="shared" si="15"/>
        <v>2400</v>
      </c>
    </row>
    <row r="91" spans="1:10">
      <c r="A91" t="str">
        <f t="shared" si="14"/>
        <v>Vrtání / Rozvaděč / Železobeton / Strop</v>
      </c>
      <c r="B91" s="3">
        <v>800</v>
      </c>
      <c r="C91" t="s">
        <v>24</v>
      </c>
      <c r="D91" t="s">
        <v>25</v>
      </c>
      <c r="E91" t="s">
        <v>29</v>
      </c>
      <c r="F91" t="s">
        <v>19</v>
      </c>
      <c r="G91" s="9" t="s">
        <v>22</v>
      </c>
      <c r="H91" s="5">
        <v>2.5</v>
      </c>
      <c r="I91" s="5">
        <v>1.5</v>
      </c>
      <c r="J91" s="5">
        <f t="shared" si="15"/>
        <v>3000</v>
      </c>
    </row>
    <row r="92" spans="1:10">
      <c r="A92" s="1" t="s">
        <v>23</v>
      </c>
      <c r="B92" s="2" t="s">
        <v>23</v>
      </c>
      <c r="C92" s="1" t="s">
        <v>23</v>
      </c>
      <c r="D92" s="1" t="s">
        <v>23</v>
      </c>
      <c r="E92" s="1" t="s">
        <v>23</v>
      </c>
      <c r="F92" s="1" t="s">
        <v>23</v>
      </c>
      <c r="G92" s="1" t="s">
        <v>23</v>
      </c>
      <c r="H92" s="4" t="s">
        <v>23</v>
      </c>
      <c r="I92" s="4" t="s">
        <v>23</v>
      </c>
      <c r="J92" s="4" t="s">
        <v>23</v>
      </c>
    </row>
    <row r="93" spans="1:10">
      <c r="A93" t="str">
        <f t="shared" ref="A93:A97" si="16">D93 &amp; " / " &amp; E93 &amp; " / " &amp; F93 &amp; " / " &amp; G93</f>
        <v>Osazení / Rozvaděč / - / Stěna</v>
      </c>
      <c r="B93" s="3">
        <v>80</v>
      </c>
      <c r="C93" t="s">
        <v>24</v>
      </c>
      <c r="D93" t="s">
        <v>28</v>
      </c>
      <c r="E93" t="s">
        <v>29</v>
      </c>
      <c r="F93" t="s">
        <v>23</v>
      </c>
      <c r="G93" s="6" t="s">
        <v>14</v>
      </c>
      <c r="H93" s="5">
        <v>1</v>
      </c>
      <c r="I93" s="5">
        <v>1</v>
      </c>
      <c r="J93" s="5">
        <f t="shared" ref="J93:J96" si="17">B93*H93*I93</f>
        <v>80</v>
      </c>
    </row>
    <row r="94" spans="1:10">
      <c r="A94" t="str">
        <f t="shared" si="16"/>
        <v>Osazení / Rozvaděč / - / Nízká (u podlahy)</v>
      </c>
      <c r="B94" s="3">
        <v>80</v>
      </c>
      <c r="C94" t="s">
        <v>24</v>
      </c>
      <c r="D94" t="s">
        <v>28</v>
      </c>
      <c r="E94" t="s">
        <v>29</v>
      </c>
      <c r="F94" t="s">
        <v>23</v>
      </c>
      <c r="G94" s="7" t="s">
        <v>20</v>
      </c>
      <c r="H94" s="5">
        <v>1</v>
      </c>
      <c r="I94" s="5">
        <v>1.1000000000000001</v>
      </c>
      <c r="J94" s="5">
        <f t="shared" si="17"/>
        <v>88</v>
      </c>
    </row>
    <row r="95" spans="1:10">
      <c r="A95" t="str">
        <f t="shared" si="16"/>
        <v>Osazení / Rozvaděč / - / Štafle</v>
      </c>
      <c r="B95" s="3">
        <v>80</v>
      </c>
      <c r="C95" t="s">
        <v>24</v>
      </c>
      <c r="D95" t="s">
        <v>28</v>
      </c>
      <c r="E95" t="s">
        <v>29</v>
      </c>
      <c r="F95" t="s">
        <v>23</v>
      </c>
      <c r="G95" s="8" t="s">
        <v>21</v>
      </c>
      <c r="H95" s="5">
        <v>1</v>
      </c>
      <c r="I95" s="5">
        <v>1.2</v>
      </c>
      <c r="J95" s="5">
        <f t="shared" si="17"/>
        <v>96</v>
      </c>
    </row>
    <row r="96" spans="1:10">
      <c r="A96" t="str">
        <f t="shared" si="16"/>
        <v>Osazení / Rozvaděč / - / Strop</v>
      </c>
      <c r="B96" s="3">
        <v>80</v>
      </c>
      <c r="C96" t="s">
        <v>24</v>
      </c>
      <c r="D96" t="s">
        <v>28</v>
      </c>
      <c r="E96" t="s">
        <v>29</v>
      </c>
      <c r="F96" t="s">
        <v>23</v>
      </c>
      <c r="G96" s="9" t="s">
        <v>22</v>
      </c>
      <c r="H96" s="5">
        <v>1</v>
      </c>
      <c r="I96" s="5">
        <v>1.5</v>
      </c>
      <c r="J96" s="5">
        <f t="shared" si="17"/>
        <v>120</v>
      </c>
    </row>
    <row r="97" spans="1:10">
      <c r="A97" s="1" t="s">
        <v>23</v>
      </c>
      <c r="B97" s="2" t="s">
        <v>23</v>
      </c>
      <c r="C97" s="1" t="s">
        <v>23</v>
      </c>
      <c r="D97" s="1" t="s">
        <v>23</v>
      </c>
      <c r="E97" s="1" t="s">
        <v>23</v>
      </c>
      <c r="F97" s="1" t="s">
        <v>23</v>
      </c>
      <c r="G97" s="1" t="s">
        <v>23</v>
      </c>
      <c r="H97" s="4" t="s">
        <v>23</v>
      </c>
      <c r="I97" s="4" t="s">
        <v>23</v>
      </c>
      <c r="J97" s="4" t="s">
        <v>23</v>
      </c>
    </row>
    <row r="98" spans="1:10">
      <c r="A98" t="str">
        <f t="shared" ref="A98:A101" si="18">D98 &amp; " / " &amp; E98 &amp; " / " &amp; F98 &amp; " / " &amp; G98</f>
        <v>Osazení / Rozvaděč / - / Stěna</v>
      </c>
      <c r="B98" s="3">
        <v>800</v>
      </c>
      <c r="C98" t="s">
        <v>24</v>
      </c>
      <c r="D98" t="s">
        <v>28</v>
      </c>
      <c r="E98" t="s">
        <v>29</v>
      </c>
      <c r="F98" t="s">
        <v>23</v>
      </c>
      <c r="G98" s="6" t="s">
        <v>14</v>
      </c>
      <c r="H98" s="5">
        <v>1</v>
      </c>
      <c r="I98" s="5">
        <v>1</v>
      </c>
      <c r="J98" s="5">
        <f t="shared" ref="J98:J101" si="19">B98*H98*I98</f>
        <v>800</v>
      </c>
    </row>
    <row r="99" spans="1:10">
      <c r="A99" t="str">
        <f t="shared" si="18"/>
        <v>Osazení / Rozvaděč / - / Nízká (u podlahy)</v>
      </c>
      <c r="B99" s="3">
        <v>800</v>
      </c>
      <c r="C99" t="s">
        <v>24</v>
      </c>
      <c r="D99" t="s">
        <v>28</v>
      </c>
      <c r="E99" t="s">
        <v>29</v>
      </c>
      <c r="F99" t="s">
        <v>23</v>
      </c>
      <c r="G99" s="7" t="s">
        <v>20</v>
      </c>
      <c r="H99" s="5">
        <v>1</v>
      </c>
      <c r="I99" s="5">
        <v>1.1000000000000001</v>
      </c>
      <c r="J99" s="5">
        <f t="shared" si="19"/>
        <v>880.00000000000011</v>
      </c>
    </row>
    <row r="100" spans="1:10">
      <c r="A100" t="str">
        <f t="shared" si="18"/>
        <v>Osazení / Rozvaděč / - / Štafle</v>
      </c>
      <c r="B100" s="3">
        <v>800</v>
      </c>
      <c r="C100" t="s">
        <v>24</v>
      </c>
      <c r="D100" t="s">
        <v>28</v>
      </c>
      <c r="E100" t="s">
        <v>29</v>
      </c>
      <c r="F100" t="s">
        <v>23</v>
      </c>
      <c r="G100" s="8" t="s">
        <v>21</v>
      </c>
      <c r="H100" s="5">
        <v>1</v>
      </c>
      <c r="I100" s="5">
        <v>1.2</v>
      </c>
      <c r="J100" s="5">
        <f t="shared" si="19"/>
        <v>960</v>
      </c>
    </row>
    <row r="101" spans="1:10">
      <c r="A101" t="str">
        <f t="shared" si="18"/>
        <v>Osazení / Rozvaděč / - / Strop</v>
      </c>
      <c r="B101" s="3">
        <v>800</v>
      </c>
      <c r="C101" t="s">
        <v>24</v>
      </c>
      <c r="D101" t="s">
        <v>28</v>
      </c>
      <c r="E101" t="s">
        <v>29</v>
      </c>
      <c r="F101" t="s">
        <v>23</v>
      </c>
      <c r="G101" s="9" t="s">
        <v>22</v>
      </c>
      <c r="H101" s="5">
        <v>1</v>
      </c>
      <c r="I101" s="5">
        <v>1.5</v>
      </c>
      <c r="J101" s="5">
        <f t="shared" si="19"/>
        <v>1200</v>
      </c>
    </row>
    <row r="102" spans="1:10">
      <c r="A102" s="1" t="s">
        <v>23</v>
      </c>
      <c r="B102" s="2" t="s">
        <v>23</v>
      </c>
      <c r="C102" s="1" t="s">
        <v>23</v>
      </c>
      <c r="D102" s="1" t="s">
        <v>23</v>
      </c>
      <c r="E102" s="1" t="s">
        <v>23</v>
      </c>
      <c r="F102" s="1" t="s">
        <v>23</v>
      </c>
      <c r="G102" s="1" t="s">
        <v>23</v>
      </c>
      <c r="H102" s="4" t="s">
        <v>23</v>
      </c>
      <c r="I102" s="4" t="s">
        <v>23</v>
      </c>
      <c r="J102" s="4" t="s">
        <v>23</v>
      </c>
    </row>
    <row r="103" spans="1:10">
      <c r="A103" t="str">
        <f>D103 &amp; " / " &amp; E103 &amp; " / " &amp; F103 &amp; " / " &amp; G103</f>
        <v>Suť / Úklid a odvoz / - / -</v>
      </c>
      <c r="B103" s="3">
        <v>1500</v>
      </c>
      <c r="C103" t="s">
        <v>24</v>
      </c>
      <c r="D103" t="s">
        <v>30</v>
      </c>
      <c r="E103" t="s">
        <v>31</v>
      </c>
      <c r="F103" t="s">
        <v>23</v>
      </c>
      <c r="G103" t="s">
        <v>23</v>
      </c>
      <c r="H103" s="5">
        <v>1</v>
      </c>
      <c r="I103" s="5">
        <v>1</v>
      </c>
      <c r="J103" s="5">
        <f>B103*H103*I103</f>
        <v>1500</v>
      </c>
    </row>
    <row r="104" spans="1:10">
      <c r="A104" s="1" t="s">
        <v>23</v>
      </c>
      <c r="B104" s="2" t="s">
        <v>23</v>
      </c>
      <c r="C104" s="1" t="s">
        <v>23</v>
      </c>
      <c r="D104" s="1" t="s">
        <v>23</v>
      </c>
      <c r="E104" s="1" t="s">
        <v>23</v>
      </c>
      <c r="F104" s="1" t="s">
        <v>23</v>
      </c>
      <c r="G104" s="1" t="s">
        <v>23</v>
      </c>
      <c r="H104" s="4" t="s">
        <v>23</v>
      </c>
      <c r="I104" s="4" t="s">
        <v>23</v>
      </c>
      <c r="J104" s="4" t="s">
        <v>23</v>
      </c>
    </row>
    <row r="105" spans="1:10">
      <c r="J105" s="5"/>
    </row>
    <row r="106" spans="1:10">
      <c r="J106" s="5"/>
    </row>
    <row r="107" spans="1:10">
      <c r="J107" s="5"/>
    </row>
    <row r="108" spans="1:10">
      <c r="J108" s="5"/>
    </row>
    <row r="109" spans="1:10">
      <c r="J109" s="5"/>
    </row>
    <row r="110" spans="1:10">
      <c r="J110" s="5"/>
    </row>
    <row r="111" spans="1:10">
      <c r="J111" s="5"/>
    </row>
    <row r="112" spans="1:10">
      <c r="J112" s="5"/>
    </row>
    <row r="113" spans="1:10">
      <c r="J113" s="5"/>
    </row>
    <row r="114" spans="1:10">
      <c r="A114" s="1" t="s">
        <v>23</v>
      </c>
      <c r="B114" s="2" t="s">
        <v>23</v>
      </c>
      <c r="C114" s="1" t="s">
        <v>23</v>
      </c>
      <c r="D114" s="1" t="s">
        <v>23</v>
      </c>
      <c r="E114" s="1" t="s">
        <v>23</v>
      </c>
      <c r="F114" s="1" t="s">
        <v>23</v>
      </c>
      <c r="G114" s="1" t="s">
        <v>23</v>
      </c>
      <c r="H114" s="4" t="s">
        <v>23</v>
      </c>
      <c r="I114" s="4" t="s">
        <v>23</v>
      </c>
      <c r="J114" s="4" t="s">
        <v>23</v>
      </c>
    </row>
    <row r="115" spans="1:10">
      <c r="A115" t="str">
        <f>D115 &amp; " / " &amp; E115 &amp; " / " &amp; F115 &amp; " / " &amp; G115</f>
        <v>Vrtání / Spára / Tvárnice / Stěna</v>
      </c>
      <c r="B115" s="3">
        <v>100</v>
      </c>
      <c r="C115" t="s">
        <v>10</v>
      </c>
      <c r="D115" t="s">
        <v>25</v>
      </c>
      <c r="E115" t="s">
        <v>12</v>
      </c>
      <c r="F115" t="s">
        <v>17</v>
      </c>
      <c r="G115" t="s">
        <v>14</v>
      </c>
      <c r="H115" s="5">
        <v>1.25</v>
      </c>
      <c r="J115">
        <f t="shared" ref="J115:J138" si="20">B115*H115</f>
        <v>125</v>
      </c>
    </row>
    <row r="116" spans="1:10">
      <c r="A116" t="str">
        <f>D116 &amp; " / " &amp; E116 &amp; " / " &amp; F116 &amp; " / " &amp; G116</f>
        <v>Vrtání / Spára / Beton / Stěna</v>
      </c>
      <c r="B116" s="3">
        <v>100</v>
      </c>
      <c r="C116" t="s">
        <v>10</v>
      </c>
      <c r="D116" t="s">
        <v>25</v>
      </c>
      <c r="E116" t="s">
        <v>12</v>
      </c>
      <c r="F116" t="s">
        <v>18</v>
      </c>
      <c r="G116" t="s">
        <v>14</v>
      </c>
      <c r="H116" s="5">
        <v>1.5</v>
      </c>
      <c r="J116">
        <f t="shared" si="20"/>
        <v>150</v>
      </c>
    </row>
    <row r="117" spans="1:10">
      <c r="A117" t="str">
        <f>D117 &amp; " / " &amp; E117 &amp; " / " &amp; F117 &amp; " / " &amp; G117</f>
        <v>Vrtání / Spára / Omítka / Strop</v>
      </c>
      <c r="B117" s="3">
        <v>100</v>
      </c>
      <c r="C117" t="s">
        <v>10</v>
      </c>
      <c r="D117" t="s">
        <v>25</v>
      </c>
      <c r="E117" t="s">
        <v>12</v>
      </c>
      <c r="F117" t="s">
        <v>32</v>
      </c>
      <c r="G117" t="s">
        <v>22</v>
      </c>
      <c r="H117" s="5">
        <v>0.2</v>
      </c>
      <c r="J117">
        <f t="shared" si="20"/>
        <v>20</v>
      </c>
    </row>
    <row r="118" spans="1:10">
      <c r="A118" t="str">
        <f>D118 &amp; " / " &amp; E118 &amp; " / " &amp; F118 &amp; " / " &amp; G118</f>
        <v>Vrtání / Spára / Cihla / Strop</v>
      </c>
      <c r="B118" s="3">
        <v>100</v>
      </c>
      <c r="C118" t="s">
        <v>10</v>
      </c>
      <c r="D118" t="s">
        <v>25</v>
      </c>
      <c r="E118" t="s">
        <v>12</v>
      </c>
      <c r="F118" t="s">
        <v>16</v>
      </c>
      <c r="G118" t="s">
        <v>22</v>
      </c>
      <c r="H118" s="5">
        <v>2.2000000000000002</v>
      </c>
      <c r="J118">
        <f t="shared" si="20"/>
        <v>220.00000000000003</v>
      </c>
    </row>
    <row r="119" spans="1:10">
      <c r="A119" t="str">
        <f>D119 &amp; " / " &amp; E119 &amp; " / " &amp; F119 &amp; " / " &amp; G119</f>
        <v>Vrtání / Spára / Tvárnice / Strop</v>
      </c>
      <c r="B119" s="3">
        <v>100</v>
      </c>
      <c r="C119" t="s">
        <v>10</v>
      </c>
      <c r="D119" t="s">
        <v>25</v>
      </c>
      <c r="E119" t="s">
        <v>12</v>
      </c>
      <c r="F119" t="s">
        <v>17</v>
      </c>
      <c r="G119" t="s">
        <v>22</v>
      </c>
      <c r="H119" s="5">
        <v>2.25</v>
      </c>
      <c r="J119">
        <f t="shared" si="20"/>
        <v>225</v>
      </c>
    </row>
    <row r="120" spans="1:10">
      <c r="A120" t="str">
        <f>D120 &amp; " / " &amp; E120 &amp; " / " &amp; F120 &amp; " / " &amp; G120</f>
        <v>Vrtání / Spára / Beton / Strop</v>
      </c>
      <c r="B120" s="3">
        <v>100</v>
      </c>
      <c r="C120" t="s">
        <v>10</v>
      </c>
      <c r="D120" t="s">
        <v>25</v>
      </c>
      <c r="E120" t="s">
        <v>12</v>
      </c>
      <c r="F120" t="s">
        <v>18</v>
      </c>
      <c r="G120" t="s">
        <v>22</v>
      </c>
      <c r="H120" s="5">
        <v>2.5</v>
      </c>
      <c r="J120">
        <f t="shared" si="20"/>
        <v>250</v>
      </c>
    </row>
    <row r="121" spans="1:10">
      <c r="A121" t="str">
        <f>D121 &amp; " / " &amp; E121 &amp; " / " &amp; F121 &amp; " / " &amp; G121</f>
        <v>Vrtání / Otvor / Omítka / Stěna</v>
      </c>
      <c r="B121" s="3">
        <v>150</v>
      </c>
      <c r="C121" t="s">
        <v>33</v>
      </c>
      <c r="D121" t="s">
        <v>25</v>
      </c>
      <c r="E121" t="s">
        <v>34</v>
      </c>
      <c r="F121" t="s">
        <v>32</v>
      </c>
      <c r="G121" t="s">
        <v>14</v>
      </c>
      <c r="H121" s="5">
        <v>0.1</v>
      </c>
      <c r="J121">
        <f t="shared" si="20"/>
        <v>15</v>
      </c>
    </row>
    <row r="122" spans="1:10">
      <c r="A122" t="str">
        <f>D122 &amp; " / " &amp; E122 &amp; " / " &amp; F122 &amp; " / " &amp; G122</f>
        <v>Vrtání / Otvor / Cihla / Stěna</v>
      </c>
      <c r="B122" s="3">
        <v>150</v>
      </c>
      <c r="C122" t="s">
        <v>33</v>
      </c>
      <c r="D122" t="s">
        <v>25</v>
      </c>
      <c r="E122" t="s">
        <v>34</v>
      </c>
      <c r="F122" t="s">
        <v>16</v>
      </c>
      <c r="G122" t="s">
        <v>14</v>
      </c>
      <c r="H122" s="5">
        <v>1.2</v>
      </c>
      <c r="J122">
        <f t="shared" si="20"/>
        <v>180</v>
      </c>
    </row>
    <row r="123" spans="1:10">
      <c r="A123" t="str">
        <f>D123 &amp; " / " &amp; E123 &amp; " / " &amp; F123 &amp; " / " &amp; G123</f>
        <v>Vrtání / Otvor / Tvárnice / Stěna</v>
      </c>
      <c r="B123" s="3">
        <v>150</v>
      </c>
      <c r="C123" t="s">
        <v>33</v>
      </c>
      <c r="D123" t="s">
        <v>25</v>
      </c>
      <c r="E123" t="s">
        <v>34</v>
      </c>
      <c r="F123" t="s">
        <v>17</v>
      </c>
      <c r="G123" t="s">
        <v>14</v>
      </c>
      <c r="H123" s="5">
        <v>1.25</v>
      </c>
      <c r="J123">
        <f t="shared" si="20"/>
        <v>187.5</v>
      </c>
    </row>
    <row r="124" spans="1:10">
      <c r="A124" t="str">
        <f>D124 &amp; " / " &amp; E124 &amp; " / " &amp; F124 &amp; " / " &amp; G124</f>
        <v>Vrtání / Otvor / Beton / Stěna</v>
      </c>
      <c r="B124" s="3">
        <v>150</v>
      </c>
      <c r="C124" t="s">
        <v>33</v>
      </c>
      <c r="D124" t="s">
        <v>25</v>
      </c>
      <c r="E124" t="s">
        <v>34</v>
      </c>
      <c r="F124" t="s">
        <v>18</v>
      </c>
      <c r="G124" t="s">
        <v>14</v>
      </c>
      <c r="H124" s="5">
        <v>1.5</v>
      </c>
      <c r="J124">
        <f t="shared" si="20"/>
        <v>225</v>
      </c>
    </row>
    <row r="125" spans="1:10">
      <c r="A125" t="str">
        <f>D125 &amp; " / " &amp; E125 &amp; " / " &amp; F125 &amp; " / " &amp; G125</f>
        <v>Vrtání / Otvor / Omítka / Strop</v>
      </c>
      <c r="B125" s="3">
        <v>150</v>
      </c>
      <c r="C125" t="s">
        <v>33</v>
      </c>
      <c r="D125" t="s">
        <v>25</v>
      </c>
      <c r="E125" t="s">
        <v>34</v>
      </c>
      <c r="F125" t="s">
        <v>32</v>
      </c>
      <c r="G125" t="s">
        <v>22</v>
      </c>
      <c r="H125" s="5">
        <v>0.2</v>
      </c>
      <c r="J125">
        <f t="shared" si="20"/>
        <v>30</v>
      </c>
    </row>
    <row r="126" spans="1:10">
      <c r="A126" t="str">
        <f>D126 &amp; " / " &amp; E126 &amp; " / " &amp; F126 &amp; " / " &amp; G126</f>
        <v>Vrtání / Otvor / Cihla / Strop</v>
      </c>
      <c r="B126" s="3">
        <v>150</v>
      </c>
      <c r="C126" t="s">
        <v>33</v>
      </c>
      <c r="D126" t="s">
        <v>25</v>
      </c>
      <c r="E126" t="s">
        <v>34</v>
      </c>
      <c r="F126" t="s">
        <v>16</v>
      </c>
      <c r="G126" t="s">
        <v>22</v>
      </c>
      <c r="H126" s="5">
        <v>2.2000000000000002</v>
      </c>
      <c r="J126">
        <f t="shared" si="20"/>
        <v>330</v>
      </c>
    </row>
    <row r="127" spans="1:10">
      <c r="A127" t="str">
        <f>D127 &amp; " / " &amp; E127 &amp; " / " &amp; F127 &amp; " / " &amp; G127</f>
        <v>Vrtání / Otvor / Tvárnice / Strop</v>
      </c>
      <c r="B127" s="3">
        <v>150</v>
      </c>
      <c r="C127" t="s">
        <v>33</v>
      </c>
      <c r="D127" t="s">
        <v>25</v>
      </c>
      <c r="E127" t="s">
        <v>34</v>
      </c>
      <c r="F127" t="s">
        <v>17</v>
      </c>
      <c r="G127" t="s">
        <v>22</v>
      </c>
      <c r="H127" s="5">
        <v>2.25</v>
      </c>
      <c r="J127">
        <f t="shared" si="20"/>
        <v>337.5</v>
      </c>
    </row>
    <row r="128" spans="1:10">
      <c r="A128" t="str">
        <f>D128 &amp; " / " &amp; E128 &amp; " / " &amp; F128 &amp; " / " &amp; G128</f>
        <v>Vrtání / Otvor / Beton / Strop</v>
      </c>
      <c r="B128" s="3">
        <v>150</v>
      </c>
      <c r="C128" t="s">
        <v>33</v>
      </c>
      <c r="D128" t="s">
        <v>25</v>
      </c>
      <c r="E128" t="s">
        <v>34</v>
      </c>
      <c r="F128" t="s">
        <v>18</v>
      </c>
      <c r="G128" t="s">
        <v>22</v>
      </c>
      <c r="H128" s="5">
        <v>2.5</v>
      </c>
      <c r="J128">
        <f t="shared" si="20"/>
        <v>375</v>
      </c>
    </row>
    <row r="129" spans="1:10">
      <c r="A129" t="str">
        <f>D129 &amp; " / " &amp; E129 &amp; " / " &amp; F129 &amp; " / " &amp; G129</f>
        <v>Vrtání / Průraz / Omítka / Stěna</v>
      </c>
      <c r="B129" s="3">
        <v>50</v>
      </c>
      <c r="C129" t="s">
        <v>10</v>
      </c>
      <c r="D129" t="s">
        <v>25</v>
      </c>
      <c r="E129" t="s">
        <v>35</v>
      </c>
      <c r="F129" t="s">
        <v>32</v>
      </c>
      <c r="G129" t="s">
        <v>14</v>
      </c>
      <c r="H129" s="5">
        <v>0.1</v>
      </c>
      <c r="J129">
        <f t="shared" si="20"/>
        <v>5</v>
      </c>
    </row>
    <row r="130" spans="1:10">
      <c r="A130" t="str">
        <f>D130 &amp; " / " &amp; E130 &amp; " / " &amp; F130 &amp; " / " &amp; G130</f>
        <v>Vrtání / Průraz / Cihla / Stěna</v>
      </c>
      <c r="B130" s="3">
        <v>50</v>
      </c>
      <c r="C130" t="s">
        <v>10</v>
      </c>
      <c r="D130" t="s">
        <v>25</v>
      </c>
      <c r="E130" t="s">
        <v>35</v>
      </c>
      <c r="F130" t="s">
        <v>16</v>
      </c>
      <c r="G130" t="s">
        <v>14</v>
      </c>
      <c r="H130" s="5">
        <v>1.2</v>
      </c>
      <c r="J130">
        <f t="shared" si="20"/>
        <v>60</v>
      </c>
    </row>
    <row r="131" spans="1:10">
      <c r="A131" t="str">
        <f>D131 &amp; " / " &amp; E131 &amp; " / " &amp; F131 &amp; " / " &amp; G131</f>
        <v>Vrtání / Průraz / Tvárnice / Stěna</v>
      </c>
      <c r="B131" s="3">
        <v>50</v>
      </c>
      <c r="C131" t="s">
        <v>10</v>
      </c>
      <c r="D131" t="s">
        <v>25</v>
      </c>
      <c r="E131" t="s">
        <v>35</v>
      </c>
      <c r="F131" t="s">
        <v>17</v>
      </c>
      <c r="G131" t="s">
        <v>14</v>
      </c>
      <c r="H131" s="5">
        <v>1.25</v>
      </c>
      <c r="J131">
        <f t="shared" si="20"/>
        <v>62.5</v>
      </c>
    </row>
    <row r="132" spans="1:10">
      <c r="A132" t="str">
        <f>D132 &amp; " / " &amp; E132 &amp; " / " &amp; F132 &amp; " / " &amp; G132</f>
        <v>Vrtání / Průraz / Beton / Stěna</v>
      </c>
      <c r="B132" s="3">
        <v>50</v>
      </c>
      <c r="C132" t="s">
        <v>10</v>
      </c>
      <c r="D132" t="s">
        <v>25</v>
      </c>
      <c r="E132" t="s">
        <v>35</v>
      </c>
      <c r="F132" t="s">
        <v>18</v>
      </c>
      <c r="G132" t="s">
        <v>14</v>
      </c>
      <c r="H132" s="5">
        <v>1.5</v>
      </c>
      <c r="J132">
        <f t="shared" si="20"/>
        <v>75</v>
      </c>
    </row>
    <row r="133" spans="1:10">
      <c r="A133" t="str">
        <f>D133 &amp; " / " &amp; E133 &amp; " / " &amp; F133 &amp; " / " &amp; G133</f>
        <v>Vrtání / Průraz / Omítka / Strop</v>
      </c>
      <c r="B133" s="3">
        <v>50</v>
      </c>
      <c r="C133" t="s">
        <v>10</v>
      </c>
      <c r="D133" t="s">
        <v>25</v>
      </c>
      <c r="E133" t="s">
        <v>35</v>
      </c>
      <c r="F133" t="s">
        <v>32</v>
      </c>
      <c r="G133" t="s">
        <v>22</v>
      </c>
      <c r="H133" s="5">
        <v>0.2</v>
      </c>
      <c r="J133">
        <f t="shared" si="20"/>
        <v>10</v>
      </c>
    </row>
    <row r="134" spans="1:10">
      <c r="A134" t="str">
        <f>D134 &amp; " / " &amp; E134 &amp; " / " &amp; F134 &amp; " / " &amp; G134</f>
        <v>Vrtání / Průraz / Cihla / Strop</v>
      </c>
      <c r="B134" s="3">
        <v>50</v>
      </c>
      <c r="C134" t="s">
        <v>10</v>
      </c>
      <c r="D134" t="s">
        <v>25</v>
      </c>
      <c r="E134" t="s">
        <v>35</v>
      </c>
      <c r="F134" t="s">
        <v>16</v>
      </c>
      <c r="G134" t="s">
        <v>22</v>
      </c>
      <c r="H134" s="5">
        <v>2.2000000000000002</v>
      </c>
      <c r="J134">
        <f t="shared" si="20"/>
        <v>110.00000000000001</v>
      </c>
    </row>
    <row r="135" spans="1:10">
      <c r="A135" t="str">
        <f>D135 &amp; " / " &amp; E135 &amp; " / " &amp; F135 &amp; " / " &amp; G135</f>
        <v>Vrtání / Průraz / Tvárnice / Strop</v>
      </c>
      <c r="B135" s="3">
        <v>50</v>
      </c>
      <c r="C135" t="s">
        <v>10</v>
      </c>
      <c r="D135" t="s">
        <v>25</v>
      </c>
      <c r="E135" t="s">
        <v>35</v>
      </c>
      <c r="F135" t="s">
        <v>17</v>
      </c>
      <c r="G135" t="s">
        <v>22</v>
      </c>
      <c r="H135" s="5">
        <v>2.25</v>
      </c>
      <c r="J135">
        <f t="shared" si="20"/>
        <v>112.5</v>
      </c>
    </row>
    <row r="136" spans="1:10">
      <c r="A136" t="str">
        <f>D136 &amp; " / " &amp; E136 &amp; " / " &amp; F136 &amp; " / " &amp; G136</f>
        <v>Vrtání / Průraz / Beton / Strop</v>
      </c>
      <c r="B136" s="3">
        <v>50</v>
      </c>
      <c r="C136" t="s">
        <v>10</v>
      </c>
      <c r="D136" t="s">
        <v>25</v>
      </c>
      <c r="E136" t="s">
        <v>35</v>
      </c>
      <c r="F136" t="s">
        <v>18</v>
      </c>
      <c r="G136" t="s">
        <v>22</v>
      </c>
      <c r="H136" s="5">
        <v>2.5</v>
      </c>
      <c r="J136">
        <f t="shared" si="20"/>
        <v>125</v>
      </c>
    </row>
    <row r="137" spans="1:10">
      <c r="A137" t="str">
        <f>D137 &amp; " / " &amp; E137</f>
        <v>Suť / Úklid</v>
      </c>
      <c r="B137" s="3">
        <v>5</v>
      </c>
      <c r="C137" t="s">
        <v>36</v>
      </c>
      <c r="D137" t="s">
        <v>30</v>
      </c>
      <c r="E137" t="s">
        <v>37</v>
      </c>
      <c r="H137" s="5">
        <v>1</v>
      </c>
      <c r="J137">
        <f t="shared" si="20"/>
        <v>5</v>
      </c>
    </row>
    <row r="138" spans="1:10">
      <c r="A138" t="str">
        <f>D138 &amp; " / " &amp; E138</f>
        <v>Suť / Odvoz</v>
      </c>
      <c r="B138" s="3">
        <v>55</v>
      </c>
      <c r="C138" t="s">
        <v>36</v>
      </c>
      <c r="D138" t="s">
        <v>30</v>
      </c>
      <c r="E138" t="s">
        <v>38</v>
      </c>
      <c r="H138" s="5">
        <v>1</v>
      </c>
      <c r="J138">
        <f t="shared" si="20"/>
        <v>55</v>
      </c>
    </row>
  </sheetData>
  <autoFilter ref="A1:J13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DF5E9-7CB3-460E-ABB9-F7BF8A80C582}">
  <dimension ref="A1:C5"/>
  <sheetViews>
    <sheetView tabSelected="1" workbookViewId="0">
      <selection activeCell="C1" sqref="A1:C1"/>
    </sheetView>
  </sheetViews>
  <sheetFormatPr defaultRowHeight="15"/>
  <cols>
    <col min="1" max="1" width="30.7109375" customWidth="1"/>
    <col min="2" max="2" width="15.7109375" style="3" customWidth="1"/>
    <col min="3" max="3" width="15.7109375" customWidth="1"/>
  </cols>
  <sheetData>
    <row r="1" spans="1:3" s="1" customFormat="1">
      <c r="A1" s="1" t="s">
        <v>5</v>
      </c>
      <c r="B1" s="2" t="s">
        <v>39</v>
      </c>
      <c r="C1" s="1" t="s">
        <v>2</v>
      </c>
    </row>
    <row r="2" spans="1:3">
      <c r="A2" t="s">
        <v>40</v>
      </c>
      <c r="B2" s="3">
        <v>110</v>
      </c>
      <c r="C2" t="s">
        <v>10</v>
      </c>
    </row>
    <row r="3" spans="1:3">
      <c r="A3" t="s">
        <v>41</v>
      </c>
      <c r="B3" s="3">
        <v>115</v>
      </c>
      <c r="C3" t="s">
        <v>10</v>
      </c>
    </row>
    <row r="4" spans="1:3">
      <c r="A4" t="s">
        <v>42</v>
      </c>
      <c r="B4" s="3">
        <v>90</v>
      </c>
      <c r="C4" t="s">
        <v>10</v>
      </c>
    </row>
    <row r="5" spans="1:3">
      <c r="A5" t="s">
        <v>43</v>
      </c>
      <c r="B5" s="3">
        <v>500</v>
      </c>
      <c r="C5" t="s">
        <v>24</v>
      </c>
    </row>
  </sheetData>
  <autoFilter ref="A1:C1" xr:uid="{46ADF5E9-7CB3-460E-ABB9-F7BF8A80C58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2026-05-05T14:45:54Z</dcterms:created>
  <dcterms:modified xsi:type="dcterms:W3CDTF">2026-05-23T22:58:48Z</dcterms:modified>
  <cp:category/>
  <cp:contentStatus/>
</cp:coreProperties>
</file>